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<sst xmlns="http://schemas.openxmlformats.org/spreadsheetml/2006/main" count="3264" uniqueCount="3264">
  <si>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</si>
  <si>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</si>
  <si>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</si>
  <si>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</si>
  <si>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</si>
  <si>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</si>
  <si>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</si>
  <si>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</si>
  <si>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</si>
  <si>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</si>
  <si>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</si>
  <si>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</si>
  <si>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</si>
  <si>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</si>
  <si>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</si>
  <si>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</si>
  <si>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</si>
  <si>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</si>
  <si>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</si>
  <si>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</si>
  <si>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</si>
  <si>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</si>
  <si>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</si>
  <si>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</si>
  <si>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</si>
  <si>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</si>
  <si>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</si>
  <si>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</si>
  <si>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</si>
  <si>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</si>
  <si>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</si>
  <si>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</si>
  <si>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</si>
  <si>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</si>
  <si>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</si>
  <si>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</si>
  <si>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</si>
  <si>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</si>
  <si>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</si>
  <si>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</si>
  <si>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</si>
  <si>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</si>
  <si>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</si>
  <si>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</si>
  <si>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</si>
  <si>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</si>
  <si>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</si>
  <si>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</si>
  <si>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</si>
  <si>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</si>
  <si>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</si>
  <si>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</si>
  <si>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</si>
  <si>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</si>
  <si>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</si>
  <si>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</si>
  <si>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</si>
  <si>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</si>
  <si>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</si>
  <si>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</si>
  <si>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</si>
  <si>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</si>
  <si>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</si>
  <si>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</si>
  <si>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</si>
  <si>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</si>
  <si>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</si>
  <si>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</si>
  <si>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</si>
  <si>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</si>
  <si>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</si>
  <si>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</si>
  <si>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</si>
  <si>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</si>
  <si>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</si>
  <si>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</si>
  <si>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</si>
  <si>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</si>
  <si>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</si>
  <si>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</si>
  <si>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</si>
  <si>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</si>
  <si>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</si>
  <si>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</si>
  <si>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</si>
  <si>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</si>
  <si>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</si>
  <si>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</si>
  <si>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</si>
  <si>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</si>
  <si>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</si>
  <si>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</si>
  <si>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</si>
  <si>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</si>
  <si>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</si>
  <si>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</si>
  <si>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</si>
  <si>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</si>
  <si>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</si>
  <si>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</si>
  <si>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</si>
  <si>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</si>
  <si>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</si>
  <si>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</si>
  <si>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</si>
  <si>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</si>
  <si>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</si>
  <si>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</si>
  <si>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</si>
  <si>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</si>
  <si>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</si>
  <si>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</si>
  <si>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</si>
  <si>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</si>
  <si>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</si>
  <si>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</si>
  <si>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</si>
  <si>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</si>
  <si>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</si>
  <si>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</si>
  <si>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</si>
  <si>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</si>
  <si>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</si>
  <si>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</si>
  <si>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</si>
  <si>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</si>
  <si>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</si>
  <si>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</si>
  <si>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</si>
  <si>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</si>
  <si>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</si>
  <si>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</si>
  <si>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</si>
  <si>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</si>
  <si>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</si>
  <si>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</si>
  <si>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</si>
  <si>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</si>
  <si>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</si>
  <si>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</si>
  <si>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</si>
  <si>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</si>
  <si>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</si>
  <si>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</si>
  <si>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</si>
  <si>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</si>
  <si>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</si>
  <si>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</si>
  <si>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</si>
  <si>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</si>
  <si>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</si>
  <si>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</si>
  <si>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</si>
  <si>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</si>
  <si>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</si>
  <si>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</si>
  <si>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</si>
  <si>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</si>
  <si>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</si>
  <si>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</si>
  <si>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</si>
  <si>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</si>
  <si>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</si>
  <si>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</si>
  <si>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</si>
  <si>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</si>
  <si>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</si>
  <si>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</si>
  <si>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</si>
  <si>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</si>
  <si>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</si>
  <si>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</si>
  <si>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</si>
  <si>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</si>
  <si>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</si>
  <si>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</si>
  <si>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</si>
  <si>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</si>
  <si>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</si>
  <si>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</si>
  <si>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</si>
  <si>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</si>
  <si>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</si>
  <si>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</si>
  <si>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</si>
  <si>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</si>
  <si>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</si>
  <si>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</si>
  <si>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</si>
  <si>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</si>
  <si>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</si>
  <si>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</si>
  <si>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</si>
  <si>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</si>
  <si>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</si>
  <si>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</si>
  <si>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</si>
  <si>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</si>
  <si>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</si>
  <si>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</si>
  <si>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</si>
  <si>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</si>
  <si>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</si>
  <si>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</si>
  <si>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</si>
  <si>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</si>
  <si>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</si>
  <si>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</si>
  <si>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</si>
  <si>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</si>
  <si>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</si>
  <si>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</si>
  <si>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</si>
  <si>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</si>
  <si>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</si>
  <si>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</si>
  <si>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</si>
  <si>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</si>
  <si>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</si>
  <si>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</si>
  <si>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</si>
  <si>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</si>
  <si>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</si>
  <si>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</si>
  <si>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</si>
  <si>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</si>
  <si>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</si>
  <si>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</si>
  <si>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</si>
  <si>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</si>
  <si>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</si>
  <si>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</si>
  <si>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</si>
  <si>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</si>
  <si>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</si>
  <si>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</si>
  <si>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</si>
  <si>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</si>
  <si>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</si>
  <si>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</si>
  <si>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</si>
  <si>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</si>
  <si>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</si>
  <si>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</si>
  <si>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</si>
  <si>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</si>
  <si>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</si>
  <si>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</si>
  <si>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</si>
  <si>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</si>
  <si>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</si>
  <si>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</si>
  <si>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</si>
  <si>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</si>
  <si>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</si>
  <si>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</si>
  <si>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</si>
  <si>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</si>
  <si>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</si>
  <si>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</si>
  <si>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</si>
  <si>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</si>
  <si>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</si>
  <si>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</si>
  <si>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</si>
  <si>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</si>
  <si>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</si>
  <si>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</si>
  <si>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</si>
  <si>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</si>
  <si>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</si>
  <si>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</si>
  <si>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</si>
  <si>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</si>
  <si>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</si>
  <si>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</si>
  <si>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</si>
  <si>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</si>
  <si>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</si>
  <si>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</si>
  <si>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</si>
  <si>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</si>
  <si>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</si>
  <si>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</si>
  <si>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</si>
  <si>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</si>
  <si>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</si>
  <si>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</si>
  <si>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</si>
  <si>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</si>
  <si>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</si>
  <si>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</si>
  <si>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</si>
  <si>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</si>
  <si>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</si>
  <si>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</si>
  <si>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</si>
  <si>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</si>
  <si>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</si>
  <si>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</si>
  <si>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</si>
  <si>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</si>
  <si>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</si>
  <si>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</si>
  <si>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</si>
  <si>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</si>
  <si>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</si>
  <si>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</si>
  <si>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</si>
  <si>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</si>
  <si>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</si>
  <si>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</si>
  <si>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</si>
  <si>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</si>
  <si>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</si>
  <si>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</si>
  <si>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</si>
  <si>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</si>
  <si>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</si>
  <si>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</si>
  <si>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</si>
  <si>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</si>
  <si>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</si>
  <si>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</si>
  <si>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</si>
  <si>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</si>
  <si>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</si>
  <si>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</si>
  <si>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</si>
  <si>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</si>
  <si>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</si>
  <si>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</si>
  <si>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</si>
  <si>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</si>
  <si>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</si>
  <si>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</si>
  <si>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</si>
  <si>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</si>
  <si>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</si>
  <si>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</si>
  <si>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</si>
  <si>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</si>
  <si>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</si>
  <si>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</si>
  <si>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</si>
  <si>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</si>
  <si>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</si>
  <si>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</si>
  <si>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</si>
  <si>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</si>
  <si>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</si>
  <si>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</si>
  <si>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</si>
  <si>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</si>
  <si>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</si>
  <si>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</si>
  <si>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</si>
  <si>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</si>
  <si>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</si>
  <si>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</si>
  <si>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</si>
  <si>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</si>
  <si>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</si>
  <si>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</si>
  <si>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</si>
  <si>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</si>
  <si>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</si>
  <si>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</si>
  <si>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</si>
  <si>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</si>
  <si>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</si>
  <si>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</si>
  <si>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</si>
  <si>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</si>
  <si>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</si>
  <si>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</si>
  <si>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</si>
  <si>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</si>
  <si>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</si>
  <si>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</si>
  <si>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</si>
  <si>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</si>
  <si>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</si>
  <si>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</si>
  <si>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</si>
  <si>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</si>
  <si>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</si>
  <si>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</si>
  <si>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</si>
  <si>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</si>
  <si>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</si>
  <si>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</si>
  <si>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</si>
  <si>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</si>
  <si>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</si>
  <si>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</si>
  <si>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</si>
  <si>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</si>
  <si>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</si>
  <si>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</si>
  <si>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</si>
  <si>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</si>
  <si>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</si>
  <si>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</si>
  <si>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</si>
  <si>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</si>
  <si>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</si>
  <si>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</si>
  <si>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</si>
  <si>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</si>
  <si>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</si>
  <si>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</si>
  <si>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</si>
  <si>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</si>
  <si>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</si>
  <si>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</si>
  <si>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</si>
  <si>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</si>
  <si>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</si>
  <si>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</si>
  <si>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</si>
  <si>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</si>
  <si>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</si>
  <si>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</si>
  <si>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</si>
  <si>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</si>
  <si>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</si>
  <si>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</si>
  <si>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</si>
  <si>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</si>
  <si>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</si>
  <si>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</si>
  <si>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</si>
  <si>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</si>
  <si>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</si>
  <si>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</si>
  <si>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</si>
  <si>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</si>
  <si>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</si>
  <si>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</si>
  <si>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</si>
  <si>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</si>
  <si>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</si>
  <si>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</si>
  <si>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</si>
  <si>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</si>
  <si>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</si>
  <si>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</si>
  <si>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</si>
  <si>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</si>
  <si>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</si>
  <si>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</si>
  <si>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</si>
  <si>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</si>
  <si>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</si>
  <si>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</si>
  <si>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</si>
  <si>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</si>
  <si>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</si>
  <si>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</si>
  <si>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</si>
  <si>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</si>
  <si>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</si>
  <si>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</si>
  <si>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</si>
  <si>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</si>
  <si>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</si>
  <si>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</si>
  <si>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</si>
  <si>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</si>
  <si>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</si>
  <si>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</si>
  <si>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</si>
  <si>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</si>
  <si>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</si>
  <si>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</si>
  <si>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</si>
  <si>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</si>
  <si>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</si>
  <si>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</si>
  <si>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</si>
  <si>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</si>
  <si>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</si>
  <si>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</si>
  <si>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</si>
  <si>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</si>
  <si>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</si>
  <si>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</si>
  <si>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</si>
  <si>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</si>
  <si>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</si>
  <si>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</si>
  <si>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</si>
  <si>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</si>
  <si>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</si>
  <si>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</si>
  <si>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</si>
  <si>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</si>
  <si>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</si>
  <si>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</si>
  <si>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</si>
  <si>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</si>
  <si>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</si>
  <si>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</si>
  <si>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</si>
  <si>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</si>
  <si>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</si>
  <si>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</si>
  <si>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</si>
  <si>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</si>
  <si>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</si>
  <si>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</si>
  <si>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</si>
  <si>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</si>
  <si>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</si>
  <si>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</si>
  <si>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</si>
  <si>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</si>
  <si>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</si>
  <si>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</si>
  <si>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</si>
  <si>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</si>
  <si>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</si>
  <si>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</si>
  <si>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</si>
  <si>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</si>
  <si>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</si>
  <si>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</si>
  <si>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</si>
  <si>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</si>
  <si>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</si>
  <si>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</si>
  <si>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</si>
  <si>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</si>
  <si>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</si>
  <si>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</si>
  <si>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</si>
  <si>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</si>
  <si>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</si>
  <si>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</si>
  <si>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</si>
  <si>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</si>
  <si>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</si>
  <si>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</si>
  <si>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</si>
  <si>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</si>
  <si>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</si>
  <si>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</si>
  <si>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</si>
  <si>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</si>
  <si>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</si>
  <si>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</si>
  <si>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</si>
  <si>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</si>
  <si>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</si>
  <si>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</si>
  <si>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</si>
  <si>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</si>
  <si>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</si>
  <si>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</si>
  <si>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</si>
  <si>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</si>
  <si>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</si>
  <si>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</si>
  <si>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</si>
  <si>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</si>
  <si>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</si>
  <si>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</si>
  <si>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</si>
  <si>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</si>
  <si>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</si>
  <si>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</si>
  <si>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</si>
  <si>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</si>
  <si>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</si>
  <si>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</si>
  <si>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</si>
  <si>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</si>
  <si>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</si>
  <si>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</si>
  <si>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</si>
  <si>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</si>
  <si>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</si>
  <si>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</si>
  <si>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</si>
  <si>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</si>
  <si>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</si>
  <si>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</si>
  <si>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</si>
  <si>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</si>
  <si>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</si>
  <si>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</si>
  <si>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</si>
  <si>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</si>
  <si>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</si>
  <si>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</si>
  <si>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</si>
  <si>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</si>
  <si>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</si>
  <si>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</si>
  <si>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</si>
  <si>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</si>
  <si>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</si>
  <si>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</si>
  <si>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</si>
  <si>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</si>
  <si>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</si>
  <si>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</si>
  <si>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</si>
  <si>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</si>
  <si>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</si>
  <si>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</si>
  <si>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</si>
  <si>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</si>
  <si>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</si>
  <si>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</si>
  <si>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</si>
  <si>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</si>
  <si>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</si>
  <si>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</si>
  <si>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</si>
  <si>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</si>
  <si>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</si>
  <si>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</si>
  <si>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</si>
  <si>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</si>
  <si>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</si>
  <si>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</si>
  <si>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</si>
  <si>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</si>
  <si>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</si>
  <si>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</si>
  <si>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</si>
  <si>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</si>
  <si>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</si>
  <si>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</si>
  <si>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</si>
  <si>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</si>
  <si>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</si>
  <si>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</si>
  <si>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</si>
  <si>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</si>
  <si>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</si>
  <si>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</si>
  <si>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</si>
  <si>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</si>
  <si>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</si>
  <si>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</si>
  <si>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</si>
  <si>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</si>
  <si>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</si>
  <si>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</si>
  <si>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</si>
  <si>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</si>
  <si>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</si>
  <si>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</si>
  <si>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</si>
  <si>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</si>
  <si>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</si>
  <si>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</si>
  <si>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</si>
  <si>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</si>
  <si>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</si>
  <si>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</si>
  <si>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</si>
  <si>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</si>
  <si>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</si>
  <si>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</si>
  <si>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</si>
  <si>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</si>
  <si>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</si>
  <si>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</si>
  <si>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</si>
  <si>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</si>
  <si>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</si>
  <si>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</si>
  <si>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</si>
  <si>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</si>
  <si>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</si>
  <si>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</si>
  <si>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</si>
  <si>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</si>
  <si>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</si>
  <si>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</si>
  <si>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</si>
  <si>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</si>
  <si>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</si>
  <si>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</si>
  <si>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</si>
  <si>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</si>
  <si>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</si>
  <si>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</si>
  <si>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</si>
  <si>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</si>
  <si>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</si>
  <si>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</si>
  <si>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</si>
  <si>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</si>
  <si>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</si>
  <si>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</si>
  <si>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</si>
  <si>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</si>
  <si>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</si>
  <si>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</si>
  <si>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</si>
  <si>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</si>
  <si>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</si>
  <si>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</si>
  <si>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</si>
  <si>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</si>
  <si>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</si>
  <si>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</si>
  <si>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</si>
  <si>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</si>
  <si>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</si>
  <si>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</si>
  <si>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</si>
  <si>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</si>
  <si>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</si>
  <si>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</si>
  <si>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</si>
  <si>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</si>
  <si>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</si>
  <si>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</si>
  <si>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</si>
  <si>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</si>
  <si>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</si>
  <si>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</si>
  <si>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</si>
  <si>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</si>
  <si>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</si>
  <si>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</si>
  <si>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</si>
  <si>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</si>
  <si>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</si>
  <si>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</si>
  <si>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</si>
  <si>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</si>
  <si>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</si>
  <si>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</si>
  <si>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</si>
  <si>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</si>
  <si>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</si>
  <si>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</si>
  <si>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</si>
  <si>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</si>
  <si>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</si>
  <si>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</si>
  <si>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</si>
  <si>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</si>
  <si>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</si>
  <si>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</si>
  <si>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</si>
  <si>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</si>
  <si>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</si>
  <si>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</si>
  <si>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</si>
  <si>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</si>
  <si>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</si>
  <si>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</si>
  <si>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</si>
  <si>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</si>
  <si>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</si>
  <si>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</si>
  <si>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</si>
  <si>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</si>
  <si>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</si>
  <si>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</si>
  <si>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</si>
  <si>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</si>
  <si>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</si>
  <si>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</si>
  <si>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</si>
  <si>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</si>
  <si>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</si>
  <si>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</si>
  <si>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</si>
  <si>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</si>
  <si>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</si>
  <si>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</si>
  <si>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</si>
  <si>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</si>
  <si>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</si>
  <si>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</si>
  <si>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</si>
  <si>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</si>
  <si>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</si>
  <si>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</si>
  <si>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</si>
  <si>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</si>
  <si>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</si>
  <si>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</si>
  <si>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</si>
  <si>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</si>
  <si>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</si>
  <si>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</si>
  <si>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</si>
  <si>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</si>
  <si>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</si>
  <si>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</si>
  <si>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</si>
  <si>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</si>
  <si>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</si>
  <si>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</si>
  <si>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</si>
  <si>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</si>
  <si>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</si>
  <si>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</si>
  <si>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</si>
  <si>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</si>
  <si>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</si>
  <si>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</si>
  <si>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</si>
  <si>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</si>
  <si>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</si>
  <si>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</si>
  <si>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</si>
  <si>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</si>
  <si>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</si>
  <si>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</si>
  <si>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</si>
  <si>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</si>
  <si>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</si>
  <si>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</si>
  <si>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</si>
  <si>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</si>
  <si>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</si>
  <si>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</si>
  <si>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</si>
  <si>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</si>
  <si>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</si>
  <si>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</si>
  <si>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</si>
  <si>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</si>
  <si>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</si>
  <si>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</si>
  <si>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</si>
  <si>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</si>
  <si>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</si>
  <si>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</si>
  <si>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</si>
  <si>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</si>
  <si>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</si>
  <si>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</si>
  <si>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</si>
  <si>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</si>
  <si>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</si>
  <si>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</si>
  <si>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</si>
  <si>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</si>
  <si>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</si>
  <si>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</si>
  <si>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</si>
  <si>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</si>
  <si>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</si>
  <si>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</si>
  <si>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</si>
  <si>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</si>
  <si>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</si>
  <si>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</si>
  <si>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</si>
  <si>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</si>
  <si>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</si>
  <si>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</si>
  <si>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</si>
  <si>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</si>
  <si>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</si>
  <si>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</si>
  <si>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</si>
  <si>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</si>
  <si>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</si>
  <si>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</si>
  <si>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</si>
  <si>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</si>
  <si>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</si>
  <si>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</si>
  <si>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</si>
  <si>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</si>
  <si>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</si>
  <si>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</si>
  <si>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</si>
  <si>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</si>
  <si>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</si>
  <si>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</si>
  <si>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</si>
  <si>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</si>
  <si>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</si>
  <si>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</si>
  <si>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</si>
  <si>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</si>
  <si>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</si>
  <si>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</si>
  <si>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</si>
  <si>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</si>
  <si>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</si>
  <si>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</si>
  <si>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</si>
  <si>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</si>
  <si>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</si>
  <si>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</si>
  <si>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</si>
  <si>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</si>
  <si>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</si>
  <si>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</si>
  <si>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</si>
  <si>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</si>
  <si>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</si>
  <si>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</si>
  <si>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</si>
  <si>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</si>
  <si>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</si>
  <si>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</si>
  <si>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</si>
  <si>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</si>
  <si>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</si>
  <si>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</si>
  <si>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</si>
  <si>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</si>
  <si>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</si>
  <si>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</si>
  <si>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</si>
  <si>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</si>
  <si>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</si>
  <si>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</si>
  <si>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</si>
  <si>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</si>
  <si>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</si>
  <si>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</si>
  <si>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</si>
  <si>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</si>
  <si>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</si>
  <si>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</si>
  <si>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</si>
  <si>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</si>
  <si>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</si>
  <si>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</si>
  <si>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</si>
  <si>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</si>
  <si>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</si>
  <si>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</si>
  <si>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</si>
  <si>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</si>
  <si>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</si>
  <si>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</si>
  <si>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</si>
  <si>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</si>
  <si>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</si>
  <si>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</si>
  <si>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</si>
  <si>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</si>
  <si>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</si>
  <si>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</si>
  <si>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</si>
  <si>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</si>
  <si>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</si>
  <si>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</si>
  <si>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</si>
  <si>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</si>
  <si>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</si>
  <si>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</si>
  <si>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</si>
  <si>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</si>
  <si>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</si>
  <si>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</si>
  <si>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</si>
  <si>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</si>
  <si>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</si>
  <si>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</si>
  <si>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</si>
  <si>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</si>
  <si>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</si>
  <si>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</si>
  <si>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</si>
  <si>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</si>
  <si>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</si>
  <si>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</si>
  <si>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</si>
  <si>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</si>
  <si>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</si>
  <si>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</si>
  <si>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</si>
  <si>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</si>
  <si>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</si>
  <si>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</si>
  <si>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</si>
  <si>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</si>
  <si>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</si>
  <si>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</si>
  <si>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</si>
  <si>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</si>
  <si>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</si>
  <si>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</si>
  <si>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</si>
  <si>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</si>
  <si>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</si>
  <si>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</si>
  <si>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</si>
  <si>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</si>
  <si>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</si>
  <si>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</si>
  <si>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</si>
  <si>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</si>
  <si>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</si>
  <si>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</si>
  <si>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</si>
  <si>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</si>
  <si>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</si>
  <si>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</si>
  <si>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</si>
  <si>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</si>
  <si>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</si>
  <si>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</si>
  <si>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</si>
  <si>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</si>
  <si>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</si>
  <si>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</si>
  <si>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</si>
  <si>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</si>
  <si>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</si>
  <si>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</si>
  <si>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</si>
  <si>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</si>
  <si>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</si>
  <si>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</si>
  <si>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</si>
  <si>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</si>
  <si>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</si>
  <si>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</si>
  <si>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</si>
  <si>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</si>
  <si>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</si>
  <si>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</si>
  <si>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</si>
  <si>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</si>
  <si>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</si>
  <si>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</si>
  <si>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</si>
  <si>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</si>
  <si>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</si>
  <si>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</si>
  <si>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</si>
  <si>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</si>
  <si>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</si>
  <si>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</si>
  <si>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</si>
  <si>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</si>
  <si>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</si>
  <si>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</si>
  <si>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</si>
  <si>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</si>
  <si>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</si>
  <si>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</si>
  <si>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</si>
  <si>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</si>
  <si>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</si>
  <si>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</si>
  <si>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</si>
  <si>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</si>
  <si>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</si>
  <si>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</si>
  <si>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</si>
  <si>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</si>
  <si>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</si>
  <si>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</si>
  <si>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</si>
  <si>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</si>
  <si>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</si>
  <si>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</si>
  <si>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</si>
  <si>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</si>
  <si>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</si>
  <si>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</si>
  <si>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</si>
  <si>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</si>
  <si>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</si>
  <si>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</si>
  <si>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</si>
  <si>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</si>
  <si>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</si>
  <si>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</si>
  <si>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</si>
  <si>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</si>
  <si>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</si>
  <si>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</si>
  <si>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</si>
  <si>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</si>
  <si>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</si>
  <si>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</si>
  <si>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</si>
  <si>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</si>
  <si>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</si>
  <si>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</si>
  <si>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</si>
  <si>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</si>
  <si>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</si>
  <si>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</si>
  <si>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</si>
  <si>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</si>
  <si>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</si>
  <si>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</si>
  <si>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</si>
  <si>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</si>
  <si>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</si>
  <si>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</si>
  <si>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</si>
  <si>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</si>
  <si>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</si>
  <si>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</si>
  <si>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</si>
  <si>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</si>
  <si>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</si>
  <si>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</si>
  <si>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</si>
  <si>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</si>
  <si>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</si>
  <si>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</si>
  <si>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</si>
  <si>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</si>
  <si>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</si>
  <si>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</si>
  <si>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</si>
  <si>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</si>
  <si>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</si>
  <si>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</si>
  <si>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</si>
  <si>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</si>
  <si>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</si>
  <si>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</si>
  <si>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</si>
  <si>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</si>
  <si>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</si>
  <si>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</si>
  <si>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</si>
  <si>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</si>
  <si>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</si>
  <si>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</si>
  <si>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</si>
  <si>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</si>
  <si>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</si>
  <si>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</si>
  <si>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</si>
  <si>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</si>
  <si>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</si>
  <si>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</si>
  <si>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</si>
  <si>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</si>
  <si>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</si>
  <si>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</si>
  <si>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</si>
  <si>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</si>
  <si>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</si>
  <si>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</si>
  <si>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</si>
  <si>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</si>
  <si>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</si>
  <si>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</si>
  <si>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</si>
  <si>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</si>
  <si>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</si>
  <si>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</si>
  <si>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</si>
  <si>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</si>
  <si>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</si>
  <si>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</si>
  <si>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</si>
  <si>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</si>
  <si>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</si>
  <si>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</si>
  <si>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</si>
  <si>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</si>
  <si>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</si>
  <si>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</si>
  <si>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</si>
  <si>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</si>
  <si>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</si>
  <si>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</si>
  <si>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</si>
  <si>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</si>
  <si>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</si>
  <si>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</si>
  <si>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</si>
  <si>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</si>
  <si>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</si>
  <si>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</si>
  <si>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</si>
  <si>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</si>
  <si>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</si>
  <si>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</si>
  <si>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</si>
  <si>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</si>
  <si>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</si>
  <si>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</si>
  <si>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</si>
  <si>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</si>
  <si>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</si>
  <si>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</si>
  <si>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</si>
  <si>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</si>
  <si>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</si>
  <si>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</si>
  <si>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</si>
  <si>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</si>
  <si>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</si>
  <si>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</si>
  <si>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</si>
  <si>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</si>
  <si>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</si>
  <si>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</si>
  <si>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</si>
  <si>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</si>
  <si>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</si>
  <si>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</si>
  <si>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</si>
  <si>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</si>
  <si>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</si>
  <si>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</si>
  <si>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</si>
  <si>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</si>
  <si>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</si>
  <si>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</si>
  <si>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</si>
  <si>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</si>
  <si>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</si>
  <si>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</si>
  <si>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</si>
  <si>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</si>
  <si>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</si>
  <si>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</si>
  <si>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</si>
  <si>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</si>
  <si>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</si>
  <si>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</si>
  <si>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</si>
  <si>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</si>
  <si>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</si>
  <si>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</si>
  <si>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</si>
  <si>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</si>
  <si>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</si>
  <si>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</si>
  <si>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</si>
  <si>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</si>
  <si>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</si>
  <si>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</si>
  <si>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</si>
  <si>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</si>
  <si>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</si>
  <si>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</si>
  <si>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</si>
  <si>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</si>
  <si>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</si>
  <si>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</si>
  <si>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</si>
  <si>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</si>
  <si>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</si>
  <si>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</si>
  <si>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</si>
  <si>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</si>
  <si>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</si>
  <si>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</si>
  <si>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</si>
  <si>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</si>
  <si>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</si>
  <si>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</si>
  <si>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</si>
  <si>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</si>
  <si>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</si>
  <si>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</si>
  <si>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</si>
  <si>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</si>
  <si>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</si>
  <si>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</si>
  <si>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</si>
  <si>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</si>
  <si>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</si>
  <si>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</si>
  <si>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</si>
  <si>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</si>
  <si>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</si>
  <si>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</si>
  <si>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</si>
  <si>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</si>
  <si>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</si>
  <si>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</si>
  <si>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</si>
  <si>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</si>
  <si>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</si>
  <si>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</si>
  <si>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</si>
  <si>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</si>
  <si>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</si>
  <si>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</si>
  <si>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</si>
  <si>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</si>
  <si>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</si>
  <si>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</si>
  <si>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</si>
  <si>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</si>
  <si>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</si>
  <si>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</si>
  <si>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</si>
  <si>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</si>
  <si>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</si>
  <si>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</si>
  <si>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</si>
  <si>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</si>
  <si>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</si>
  <si>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</si>
  <si>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</si>
  <si>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</si>
  <si>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</si>
  <si>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</si>
  <si>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</si>
  <si>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</si>
  <si>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</si>
  <si>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</si>
  <si>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</si>
  <si>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</si>
  <si>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</si>
  <si>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</si>
  <si>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</si>
  <si>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</si>
  <si>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</si>
  <si>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</si>
  <si>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</si>
  <si>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</si>
  <si>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</si>
  <si>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</si>
  <si>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</si>
  <si>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</si>
  <si>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</si>
  <si>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</si>
  <si>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</si>
  <si>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</si>
  <si>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</si>
  <si>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</si>
  <si>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</si>
  <si>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</si>
  <si>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</si>
  <si>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</si>
  <si>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</si>
  <si>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</si>
  <si>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</si>
  <si>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</si>
  <si>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</si>
  <si>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</si>
  <si>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</si>
  <si>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</si>
  <si>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</si>
  <si>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</si>
  <si>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</si>
  <si>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</si>
  <si>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</si>
  <si>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</si>
  <si>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</si>
  <si>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</si>
  <si>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</si>
  <si>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</si>
  <si>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</si>
  <si>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</si>
  <si>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</si>
  <si>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</si>
  <si>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</si>
  <si>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</si>
  <si>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</si>
  <si>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</si>
  <si>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</si>
  <si>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</si>
  <si>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</si>
  <si>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</si>
  <si>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</si>
  <si>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</si>
  <si>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</si>
  <si>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</si>
  <si>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</si>
  <si>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</si>
  <si>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</si>
  <si>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</si>
  <si>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</si>
  <si>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</si>
  <si>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</si>
  <si>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</si>
  <si>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</si>
  <si>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</si>
  <si>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</si>
  <si>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</si>
  <si>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</si>
  <si>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</si>
  <si>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</si>
  <si>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</si>
  <si>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</si>
  <si>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</si>
  <si>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</si>
  <si>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</si>
  <si>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</si>
  <si>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</si>
  <si>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</si>
  <si>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</si>
  <si>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</si>
  <si>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</si>
  <si>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</si>
  <si>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</si>
  <si>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</si>
  <si>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</si>
  <si>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</si>
  <si>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</si>
  <si>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</si>
  <si>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</si>
  <si>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</si>
  <si>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</si>
  <si>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</si>
  <si>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</si>
  <si>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</si>
  <si>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</si>
  <si>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</si>
  <si>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</si>
  <si>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</si>
  <si>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</si>
  <si>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</si>
  <si>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</si>
  <si>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</si>
  <si>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</si>
  <si>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</si>
  <si>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</si>
  <si>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</si>
  <si>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</si>
  <si>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</si>
  <si>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</si>
  <si>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</si>
  <si>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</si>
  <si>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</si>
  <si>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</si>
  <si>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</si>
  <si>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</si>
  <si>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</si>
  <si>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</si>
  <si>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</si>
  <si>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</si>
  <si>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</si>
  <si>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</si>
  <si>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</si>
  <si>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</si>
  <si>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</si>
  <si>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</si>
  <si>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</si>
  <si>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</si>
  <si>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</si>
  <si>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</si>
  <si>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</si>
  <si>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</si>
  <si>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</si>
  <si>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</si>
  <si>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</si>
  <si>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</si>
  <si>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</si>
  <si>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</si>
  <si>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</si>
  <si>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</si>
  <si>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</si>
  <si>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</si>
  <si>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</si>
  <si>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</si>
  <si>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</si>
  <si>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</si>
  <si>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</si>
  <si>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</si>
  <si>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</si>
  <si>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</si>
  <si>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</si>
  <si>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</si>
  <si>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</si>
  <si>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</si>
  <si>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</si>
  <si>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</si>
  <si>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</si>
  <si>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</si>
  <si>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</si>
  <si>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</si>
  <si>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</si>
  <si>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</si>
  <si>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</si>
  <si>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</si>
  <si>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</si>
  <si>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</si>
  <si>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</si>
  <si>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</si>
  <si>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</si>
  <si>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</si>
  <si>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</si>
  <si>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</si>
  <si>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</si>
  <si>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</si>
  <si>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</si>
  <si>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</si>
  <si>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</si>
  <si>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</si>
  <si>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</si>
  <si>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</si>
  <si>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</si>
  <si>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</si>
  <si>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</si>
  <si>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</si>
  <si>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</si>
  <si>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</si>
  <si>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</si>
  <si>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</si>
  <si>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</si>
  <si>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</si>
  <si>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</si>
  <si>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</si>
  <si>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</si>
  <si>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</si>
  <si>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</si>
  <si>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</si>
  <si>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</si>
  <si>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</si>
  <si>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</si>
  <si>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</si>
  <si>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</si>
  <si>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</si>
  <si>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</si>
  <si>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</si>
  <si>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</si>
  <si>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</si>
  <si>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</si>
  <si>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</si>
  <si>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</si>
  <si>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</si>
  <si>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</si>
  <si>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</si>
  <si>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</si>
  <si>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</si>
  <si>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</si>
  <si>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</si>
  <si>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</si>
  <si>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</si>
  <si>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</si>
  <si>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</si>
  <si>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</si>
  <si>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</si>
  <si>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</si>
  <si>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</si>
  <si>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</si>
  <si>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</si>
  <si>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</si>
  <si>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</si>
  <si>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</si>
  <si>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</si>
  <si>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</si>
  <si>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</si>
  <si>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</si>
  <si>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</si>
  <si>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</si>
  <si>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</si>
  <si>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</si>
  <si>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</si>
  <si>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</si>
  <si>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</si>
  <si>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</si>
  <si>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</si>
  <si>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</si>
  <si>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</si>
  <si>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</si>
  <si>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</si>
  <si>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</si>
  <si>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</si>
  <si>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</si>
  <si>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</si>
  <si>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</si>
  <si>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</si>
  <si>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</si>
  <si>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</si>
  <si>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</si>
  <si>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</si>
  <si>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</si>
  <si>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</si>
  <si>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</si>
  <si>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</si>
  <si>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</si>
  <si>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</si>
  <si>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</si>
  <si>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</si>
  <si>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</si>
  <si>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</si>
  <si>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</si>
  <si>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</si>
  <si>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</si>
  <si>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</si>
  <si>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</si>
  <si>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</si>
  <si>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</si>
  <si>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</si>
  <si>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</si>
  <si>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</si>
  <si>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</si>
  <si>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</si>
  <si>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</si>
  <si>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</si>
  <si>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</si>
  <si>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</si>
  <si>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</si>
  <si>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</si>
  <si>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</si>
  <si>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</si>
  <si>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</si>
  <si>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</si>
  <si>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</si>
  <si>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</si>
  <si>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</si>
  <si>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</si>
  <si>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</si>
  <si>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</si>
  <si>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</si>
  <si>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</si>
  <si>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</si>
  <si>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</si>
  <si>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</si>
  <si>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</si>
  <si>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</si>
  <si>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</si>
  <si>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</si>
  <si>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</si>
  <si>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</si>
  <si>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</si>
  <si>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</si>
  <si>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</si>
  <si>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</si>
  <si>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</si>
  <si>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</si>
  <si>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</si>
  <si>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</si>
  <si>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</si>
  <si>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</si>
  <si>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</si>
  <si>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</si>
  <si>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</si>
  <si>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</si>
  <si>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</si>
  <si>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</si>
  <si>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</si>
  <si>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</si>
  <si>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</si>
  <si>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</si>
  <si>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</si>
  <si>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</si>
  <si>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</si>
  <si>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</si>
  <si>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</si>
  <si>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</si>
  <si>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</si>
  <si>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</si>
  <si>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</si>
  <si>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</si>
  <si>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</si>
  <si>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</si>
  <si>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</si>
  <si>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</si>
  <si>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</si>
  <si>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</si>
  <si>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</si>
  <si>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</si>
  <si>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</si>
  <si>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</si>
  <si>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</si>
  <si>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</si>
  <si>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</si>
  <si>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</si>
  <si>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</si>
  <si>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</si>
  <si>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</si>
  <si>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</si>
  <si>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</si>
  <si>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</si>
  <si>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</si>
  <si>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</si>
  <si>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</si>
  <si>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</si>
  <si>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</si>
  <si>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</si>
  <si>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</si>
  <si>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</si>
  <si>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</si>
  <si>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</si>
  <si>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</si>
  <si>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</si>
  <si>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</si>
  <si>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</si>
  <si>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</si>
  <si>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</si>
  <si>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</si>
  <si>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</si>
  <si>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</si>
  <si>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</si>
  <si>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</si>
  <si>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</si>
  <si>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</si>
  <si>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</si>
  <si>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</si>
  <si>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</si>
  <si>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</si>
  <si>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</si>
  <si>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</si>
  <si>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</si>
  <si>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</si>
  <si>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</si>
  <si>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</si>
  <si>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</si>
  <si>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</si>
  <si>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</si>
  <si>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</si>
  <si>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</si>
  <si>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</si>
  <si>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</si>
  <si>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</si>
  <si>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</si>
  <si>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</si>
  <si>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</si>
  <si>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</si>
  <si>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</si>
  <si>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</si>
  <si>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</si>
  <si>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</si>
  <si>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</si>
  <si>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</si>
  <si>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</si>
  <si>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</si>
  <si>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</si>
  <si>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</si>
  <si>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</si>
  <si>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</si>
  <si>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</si>
  <si>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</si>
  <si>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</si>
  <si>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</si>
  <si>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</si>
  <si>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</si>
  <si>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</si>
  <si>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</si>
  <si>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</si>
  <si>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</si>
  <si>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</si>
  <si>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</si>
  <si>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</si>
  <si>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</si>
  <si>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</si>
  <si>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</si>
  <si>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</si>
  <si>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</si>
  <si>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</si>
  <si>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</si>
  <si>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</si>
  <si>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</si>
  <si>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</si>
  <si>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</si>
  <si>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</si>
  <si>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</si>
  <si>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</si>
  <si>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</si>
  <si>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</si>
  <si>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</si>
  <si>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</si>
  <si>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</si>
  <si>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</si>
  <si>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</si>
  <si>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</si>
  <si>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</si>
  <si>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</si>
  <si>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</si>
  <si>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</si>
  <si>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</si>
  <si>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</si>
  <si>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</si>
  <si>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</si>
  <si>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</si>
  <si>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</si>
  <si>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</si>
  <si>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</si>
  <si>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</si>
  <si>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</si>
  <si>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</si>
  <si>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</si>
  <si>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</si>
  <si>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</si>
  <si>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</si>
  <si>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</si>
  <si>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</si>
  <si>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</si>
  <si>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</si>
  <si>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</si>
  <si>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</si>
  <si>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</si>
  <si>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</si>
  <si>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</si>
  <si>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</si>
  <si>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</si>
  <si>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</si>
  <si>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</si>
  <si>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</si>
  <si>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</si>
  <si>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</si>
  <si>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</si>
  <si>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</si>
  <si>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</si>
  <si>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</si>
  <si>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</si>
  <si>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</si>
  <si>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</si>
  <si>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</si>
  <si>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</si>
  <si>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</si>
  <si>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</si>
  <si>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</si>
  <si>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</si>
  <si>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</si>
  <si>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</si>
  <si>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</si>
  <si>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</si>
  <si>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</si>
  <si>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</si>
  <si>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</si>
  <si>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</si>
  <si>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</si>
  <si>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</si>
  <si>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</si>
  <si>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</si>
  <si>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</si>
  <si>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</si>
  <si>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</si>
  <si>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</si>
  <si>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</si>
  <si>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</si>
  <si>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</si>
  <si>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</si>
  <si>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</si>
  <si>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</si>
  <si>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</si>
  <si>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</si>
  <si>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</si>
  <si>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</si>
  <si>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</si>
  <si>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</si>
  <si>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</si>
  <si>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</si>
  <si>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</si>
  <si>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</si>
  <si>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</si>
  <si>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</si>
  <si>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</si>
  <si>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</si>
  <si>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</si>
  <si>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</si>
  <si>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</si>
  <si>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</si>
  <si>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</si>
  <si>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</si>
  <si>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</si>
  <si>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</si>
  <si>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</si>
  <si>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</si>
  <si>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</si>
  <si>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</si>
  <si>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</si>
  <si>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</si>
  <si>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</si>
  <si>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</si>
  <si>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</si>
  <si>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</si>
  <si>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</si>
  <si>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</si>
  <si>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</si>
  <si>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</si>
  <si>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</si>
  <si>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</si>
  <si>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</si>
  <si>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</si>
  <si>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</si>
  <si>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</si>
  <si>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</si>
  <si>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</si>
  <si>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</si>
  <si>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</si>
  <si>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</si>
  <si>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</si>
  <si>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</si>
  <si>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</si>
  <si>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</si>
  <si>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</si>
  <si>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</si>
  <si>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</si>
  <si>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</si>
  <si>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</si>
  <si>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</si>
  <si>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</si>
  <si>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</si>
  <si>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</si>
  <si>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</si>
  <si>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</si>
  <si>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</si>
  <si>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</si>
  <si>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</si>
  <si>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</si>
  <si>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</si>
  <si>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</si>
  <si>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</si>
  <si>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</si>
  <si>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</si>
  <si>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</si>
  <si>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</si>
  <si>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</si>
  <si>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</si>
  <si>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</si>
  <si>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</si>
  <si>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</si>
  <si>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</si>
  <si>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</si>
  <si>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</si>
  <si>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</si>
  <si>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</si>
  <si>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</si>
  <si>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</si>
  <si>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</si>
  <si>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</si>
  <si>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</si>
  <si>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</si>
  <si>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</si>
  <si>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</si>
  <si>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</si>
  <si>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</si>
  <si>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</si>
  <si>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</si>
  <si>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</si>
  <si>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</si>
  <si>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</si>
  <si>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</si>
  <si>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</si>
  <si>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</si>
  <si>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</si>
  <si>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</si>
  <si>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</si>
  <si>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</si>
  <si>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</si>
  <si>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</si>
  <si>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</si>
  <si>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</si>
  <si>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</si>
  <si>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</si>
  <si>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</si>
  <si>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</si>
  <si>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</si>
  <si>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</si>
  <si>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</si>
  <si>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</si>
  <si>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</si>
  <si>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</si>
  <si>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</si>
  <si>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</si>
  <si>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</si>
  <si>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</si>
  <si>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</si>
  <si>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</si>
  <si>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</si>
  <si>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</si>
  <si>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</si>
  <si>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</si>
  <si>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</si>
  <si>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</si>
  <si>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</si>
  <si>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</si>
  <si>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</si>
  <si>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</si>
  <si>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</si>
  <si>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</si>
  <si>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</si>
  <si>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</si>
  <si>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</si>
  <si>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</si>
  <si>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</si>
  <si>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</si>
  <si>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</si>
  <si>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</si>
  <si>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</si>
  <si>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</si>
  <si>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</si>
  <si>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</si>
  <si>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</si>
  <si>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</si>
  <si>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</si>
  <si>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</si>
  <si>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</si>
  <si>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</si>
  <si>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</si>
  <si>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</si>
  <si>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</si>
  <si>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</si>
  <si>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</si>
  <si>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</si>
  <si>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</si>
  <si>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</si>
  <si>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</si>
  <si>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</si>
  <si>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</si>
  <si>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</si>
  <si>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</si>
  <si>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</si>
  <si>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</si>
  <si>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</si>
  <si>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</si>
  <si>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</si>
  <si>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</si>
  <si>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</si>
  <si>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</si>
  <si>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</si>
  <si>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</si>
  <si>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</si>
  <si>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</si>
  <si>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</si>
  <si>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</si>
  <si>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</si>
  <si>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</si>
  <si>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</si>
  <si>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</si>
  <si>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</si>
  <si>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</si>
  <si>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</si>
  <si>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</si>
  <si>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</si>
  <si>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</si>
  <si>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</si>
  <si>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</si>
  <si>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</si>
  <si>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</si>
  <si>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</si>
  <si>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</si>
  <si>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</si>
  <si>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</si>
  <si>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</si>
  <si>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</si>
  <si>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</si>
  <si>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</si>
  <si>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</si>
  <si>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</si>
  <si>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</si>
  <si>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</si>
  <si>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</si>
  <si>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</si>
  <si>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</si>
  <si>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</si>
  <si>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</si>
  <si>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</si>
  <si>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</si>
  <si>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</si>
  <si>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</si>
  <si>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</si>
  <si>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</si>
  <si>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</si>
  <si>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</si>
  <si>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</si>
  <si>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</si>
  <si>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</si>
  <si>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</si>
  <si>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</si>
  <si>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</si>
  <si>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</si>
  <si>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</si>
  <si>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</si>
  <si>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</si>
  <si>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</si>
  <si>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</si>
  <si>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</si>
  <si>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</si>
  <si>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</si>
  <si>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</si>
  <si>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</si>
  <si>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</si>
  <si>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</si>
  <si>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</si>
  <si>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</si>
  <si>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</si>
  <si>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</si>
  <si>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</si>
  <si>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</si>
  <si>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</si>
  <si>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</si>
  <si>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</si>
  <si>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</si>
  <si>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</si>
  <si>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</si>
  <si>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</si>
  <si>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</si>
  <si>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</si>
  <si>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</si>
  <si>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</si>
  <si>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</si>
  <si>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</si>
  <si>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</si>
  <si>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</si>
  <si>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</si>
  <si>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</si>
  <si>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</si>
  <si>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</si>
  <si>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</si>
  <si>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</si>
  <si>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</si>
  <si>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</si>
  <si>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</si>
  <si>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</si>
  <si>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</si>
  <si>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</si>
  <si>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事務所2階建</t>
  </si>
  <si>
    <t>④</t>
  </si>
  <si>
    <t>建築物所在地</t>
  </si>
  <si>
    <t>都道府県</t>
  </si>
  <si>
    <t>東京都</t>
  </si>
  <si>
    <t>市区町村</t>
  </si>
  <si>
    <t>○○区</t>
  </si>
  <si>
    <t>○○○町○○○番地</t>
  </si>
  <si>
    <t>⑤</t>
  </si>
  <si>
    <t>省エネ基準地域区分</t>
  </si>
  <si>
    <t>6</t>
  </si>
  <si>
    <t>⑥</t>
  </si>
  <si>
    <t>構造</t>
  </si>
  <si>
    <t>鉄筋コンクリート造</t>
  </si>
  <si>
    <t>⑦</t>
  </si>
  <si>
    <t>階数</t>
  </si>
  <si>
    <t>地上</t>
  </si>
  <si>
    <t>2</t>
  </si>
  <si>
    <t>地下</t>
  </si>
  <si>
    <t>0</t>
  </si>
  <si>
    <t>⑧</t>
  </si>
  <si>
    <t>敷地面積 [㎡]</t>
  </si>
  <si>
    <t>1200</t>
  </si>
  <si>
    <t>⑨</t>
  </si>
  <si>
    <t>建築面積 [㎡]</t>
  </si>
  <si>
    <t>564.25</t>
  </si>
  <si>
    <t>⑩</t>
  </si>
  <si>
    <t>延べ面積 [㎡]</t>
  </si>
  <si>
    <t>1149.43</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</si>
  <si>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</si>
  <si>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</si>
  <si>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</si>
  <si>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</si>
  <si>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</si>
  <si>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</si>
  <si>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</si>
  <si>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</si>
  <si>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</si>
  <si>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</si>
  <si>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</si>
  <si>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</si>
  <si>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</si>
  <si>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</si>
  <si>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</si>
  <si>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</si>
  <si>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</si>
  <si>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</si>
  <si>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</si>
  <si>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</si>
  <si>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</si>
  <si>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</si>
  <si>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</si>
  <si>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</si>
  <si>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</si>
  <si>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</si>
  <si>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</si>
  <si>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</si>
  <si>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</si>
  <si>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</si>
  <si>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</si>
  <si>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</si>
  <si>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</si>
  <si>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</si>
  <si>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</si>
  <si>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</si>
  <si>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</si>
  <si>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</si>
  <si>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</si>
  <si>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</si>
  <si>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</si>
  <si>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</si>
  <si>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</si>
  <si>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</si>
  <si>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</si>
  <si>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</si>
  <si>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</si>
  <si>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</si>
  <si>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</si>
  <si>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</si>
  <si>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</si>
  <si>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</si>
  <si>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</si>
  <si>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</si>
  <si>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</si>
  <si>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</si>
  <si>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</si>
  <si>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</si>
  <si>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</si>
  <si>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</si>
  <si>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</si>
  <si>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</si>
  <si>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</si>
  <si>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</si>
  <si>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</si>
  <si>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</si>
  <si>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</si>
  <si>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</si>
  <si>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</si>
  <si>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</si>
  <si>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</si>
  <si>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</si>
  <si>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</si>
  <si>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</si>
  <si>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</si>
  <si>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</si>
  <si>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</si>
  <si>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</si>
  <si>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</si>
  <si>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</si>
  <si>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</si>
  <si>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</si>
  <si>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</si>
  <si>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</si>
  <si>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</si>
  <si>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</si>
  <si>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</si>
  <si>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</si>
  <si>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</si>
  <si>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</si>
  <si>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</si>
  <si>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</si>
  <si>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</si>
  <si>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</si>
  <si>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</si>
  <si>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</si>
  <si>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</si>
  <si>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</si>
  <si>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</si>
  <si>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</si>
  <si>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</si>
  <si>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</si>
  <si>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</si>
  <si>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</si>
  <si>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</si>
  <si>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</si>
  <si>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</si>
  <si>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</si>
  <si>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</si>
  <si>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</si>
  <si>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</si>
  <si>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</si>
  <si>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</si>
  <si>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</si>
  <si>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</si>
  <si>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</si>
  <si>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</si>
  <si>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</si>
  <si>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</si>
  <si>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</si>
  <si>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</si>
  <si>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</si>
  <si>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</si>
  <si>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</si>
  <si>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</si>
  <si>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</si>
  <si>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</si>
  <si>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</si>
  <si>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</si>
  <si>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</si>
  <si>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</si>
  <si>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</si>
  <si>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</si>
  <si>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</si>
  <si>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</si>
  <si>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</si>
  <si>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</si>
  <si>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</si>
  <si>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</si>
  <si>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</si>
  <si>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</si>
  <si>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</si>
  <si>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</si>
  <si>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</si>
  <si>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</si>
  <si>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</si>
  <si>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</si>
  <si>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</si>
  <si>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</si>
  <si>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</si>
  <si>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</si>
  <si>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</si>
  <si>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</si>
  <si>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</si>
  <si>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</si>
  <si>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</si>
  <si>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</si>
  <si>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</si>
  <si>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</si>
  <si>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</si>
  <si>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</si>
  <si>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</si>
  <si>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</si>
  <si>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</si>
  <si>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</si>
  <si>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</si>
  <si>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</si>
  <si>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</si>
  <si>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</si>
  <si>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</si>
  <si>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</si>
  <si>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</si>
  <si>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</si>
  <si>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</si>
  <si>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</si>
  <si>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</si>
  <si>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</si>
  <si>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</si>
  <si>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</si>
  <si>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</si>
  <si>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</si>
  <si>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</si>
  <si>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</si>
  <si>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</si>
  <si>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</si>
  <si>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</si>
  <si>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</si>
  <si>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</si>
  <si>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</si>
  <si>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</si>
  <si>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</si>
  <si>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</si>
  <si>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</si>
  <si>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</si>
  <si>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</si>
  <si>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</si>
  <si>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</si>
  <si>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</si>
  <si>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</si>
  <si>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</si>
  <si>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</si>
  <si>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</si>
  <si>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</si>
  <si>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</si>
  <si>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</si>
  <si>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</si>
  <si>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</si>
  <si>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</si>
  <si>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</si>
  <si>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</si>
  <si>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</si>
  <si>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</si>
  <si>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</si>
  <si>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</si>
  <si>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</si>
  <si>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</si>
  <si>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</si>
  <si>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</si>
  <si>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</si>
  <si>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</si>
  <si>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</si>
  <si>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</si>
  <si>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</si>
  <si>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</si>
  <si>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</si>
  <si>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</si>
  <si>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</si>
  <si>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</si>
  <si>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</si>
  <si>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</si>
  <si>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</si>
  <si>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</si>
  <si>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</si>
  <si>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</si>
  <si>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</si>
  <si>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</si>
  <si>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</si>
  <si>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</si>
  <si>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</si>
  <si>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</si>
  <si>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</si>
  <si>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</si>
  <si>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</si>
  <si>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</si>
  <si>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</si>
  <si>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</si>
  <si>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</si>
  <si>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</si>
  <si>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</si>
  <si>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</si>
  <si>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</si>
  <si>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</si>
  <si>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</si>
  <si>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</si>
  <si>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</si>
  <si>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</si>
  <si>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</si>
  <si>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</si>
  <si>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</si>
  <si>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</si>
  <si>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</si>
  <si>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</si>
  <si>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</si>
  <si>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</si>
  <si>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</si>
  <si>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</si>
  <si>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</si>
  <si>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</si>
  <si>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</si>
  <si>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</si>
  <si>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</si>
  <si>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</si>
  <si>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</si>
  <si>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</si>
  <si>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</si>
  <si>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</si>
  <si>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</si>
  <si>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</si>
  <si>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</si>
  <si>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</si>
  <si>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</si>
  <si>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</si>
  <si>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</si>
  <si>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</si>
  <si>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</si>
  <si>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</si>
  <si>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</si>
  <si>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</si>
  <si>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</si>
  <si>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</si>
  <si>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</si>
  <si>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</si>
  <si>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</si>
  <si>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</si>
  <si>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</si>
  <si>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</si>
  <si>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</si>
  <si>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</si>
  <si>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</si>
  <si>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</si>
  <si>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</si>
  <si>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</si>
  <si>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</si>
  <si>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</si>
  <si>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</si>
  <si>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</si>
  <si>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</si>
  <si>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</si>
  <si>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</si>
  <si>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</si>
  <si>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</si>
  <si>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</si>
  <si>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</si>
  <si>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</si>
  <si>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</si>
  <si>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</si>
  <si>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</si>
  <si>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</si>
  <si>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</si>
  <si>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</si>
  <si>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</si>
  <si>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</si>
  <si>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</si>
  <si>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</si>
  <si>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</si>
  <si>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</si>
  <si>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</si>
  <si>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</si>
  <si>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</si>
  <si>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</si>
  <si>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</si>
  <si>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</si>
  <si>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</si>
  <si>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</si>
  <si>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</si>
  <si>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</si>
  <si>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</si>
  <si>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</si>
  <si>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</si>
  <si>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</si>
  <si>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</si>
  <si>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</si>
  <si>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</si>
  <si>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</si>
  <si>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</si>
  <si>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</si>
  <si>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</si>
  <si>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</si>
  <si>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</si>
  <si>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</si>
  <si>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</si>
  <si>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</si>
  <si>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</si>
  <si>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</si>
  <si>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</si>
  <si>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</si>
  <si>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</si>
  <si>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</si>
  <si>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</si>
  <si>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</si>
  <si>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</si>
  <si>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</si>
  <si>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</si>
  <si>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</si>
  <si>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</si>
  <si>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</si>
  <si>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</si>
  <si>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</si>
  <si>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</si>
  <si>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</si>
  <si>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</si>
  <si>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</si>
  <si>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</si>
  <si>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</si>
  <si>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</si>
  <si>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</si>
  <si>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</si>
  <si>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</si>
  <si>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</si>
  <si>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</si>
  <si>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</si>
  <si>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</si>
  <si>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</si>
  <si>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</si>
  <si>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</si>
  <si>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</si>
  <si>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</si>
  <si>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</si>
  <si>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</si>
  <si>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</si>
  <si>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</si>
  <si>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</si>
  <si>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</si>
  <si>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</si>
  <si>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</si>
  <si>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</si>
  <si>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</si>
  <si>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</si>
  <si>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</si>
  <si>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</si>
  <si>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</si>
  <si>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</si>
  <si>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</si>
  <si>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</si>
  <si>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</si>
  <si>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</si>
  <si>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</si>
  <si>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</si>
  <si>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</si>
  <si>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</si>
  <si>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</si>
  <si>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</si>
  <si>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</si>
  <si>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</si>
  <si>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</si>
  <si>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</si>
  <si>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</si>
  <si>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</si>
  <si>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</si>
  <si>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</si>
  <si>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</si>
  <si>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</si>
  <si>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</si>
  <si>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</si>
  <si>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</si>
  <si>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</si>
  <si>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</si>
  <si>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</si>
  <si>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</si>
  <si>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</si>
  <si>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</si>
  <si>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</si>
  <si>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</si>
  <si>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</si>
  <si>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</si>
  <si>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</si>
  <si>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</si>
  <si>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</si>
  <si>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</si>
  <si>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</si>
  <si>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</si>
  <si>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</si>
  <si>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</si>
  <si>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</si>
  <si>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</si>
  <si>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</si>
  <si>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</si>
  <si>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</si>
  <si>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</si>
  <si>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</si>
  <si>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</si>
  <si>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</si>
  <si>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</si>
  <si>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</si>
  <si>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</si>
  <si>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</si>
  <si>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</si>
  <si>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</si>
  <si>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</si>
  <si>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</si>
  <si>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</si>
  <si>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</si>
  <si>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</si>
  <si>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</si>
  <si>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</si>
  <si>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</si>
  <si>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</si>
  <si>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</si>
  <si>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</si>
  <si>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</si>
  <si>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</si>
  <si>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</si>
  <si>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</si>
  <si>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</si>
  <si>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</si>
  <si>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</si>
  <si>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</si>
  <si>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</si>
  <si>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</si>
  <si>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</si>
  <si>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</si>
  <si>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</si>
  <si>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</si>
  <si>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</si>
  <si>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</si>
  <si>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</si>
  <si>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</si>
  <si>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</si>
  <si>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</si>
  <si>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</si>
  <si>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</si>
  <si>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</si>
  <si>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</si>
  <si>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</si>
  <si>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</si>
  <si>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</si>
  <si>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</si>
  <si>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</si>
  <si>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</si>
  <si>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</si>
  <si>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</si>
  <si>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</si>
  <si>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</si>
  <si>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</si>
  <si>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</si>
  <si>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</si>
  <si>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</si>
  <si>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</si>
  <si>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</si>
  <si>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</si>
  <si>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</si>
  <si>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</si>
  <si>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</si>
  <si>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</si>
  <si>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</si>
  <si>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</si>
  <si>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</si>
  <si>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</si>
  <si>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</si>
  <si>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</si>
  <si>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</si>
  <si>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</si>
  <si>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</si>
  <si>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</si>
  <si>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</si>
  <si>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</si>
  <si>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</si>
  <si>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</si>
  <si>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</si>
  <si>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</si>
  <si>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</si>
  <si>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</si>
  <si>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</si>
  <si>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</si>
  <si>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</si>
  <si>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</si>
  <si>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</si>
  <si>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</si>
  <si>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</si>
  <si>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</si>
  <si>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</si>
  <si>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</si>
  <si>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</si>
  <si>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</si>
  <si>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</si>
  <si>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</si>
  <si>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</si>
  <si>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</si>
  <si>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</si>
  <si>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</si>
  <si>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</si>
  <si>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</si>
  <si>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</si>
  <si>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</si>
  <si>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</si>
  <si>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</si>
  <si>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</si>
  <si>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</si>
  <si>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</si>
  <si>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</si>
  <si>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</si>
  <si>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</si>
  <si>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</si>
  <si>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</si>
  <si>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</si>
  <si>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</si>
  <si>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</si>
  <si>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</si>
  <si>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</si>
  <si>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</si>
  <si>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</si>
  <si>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</si>
  <si>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</si>
  <si>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</si>
  <si>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</si>
  <si>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</si>
  <si>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</si>
  <si>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</si>
  <si>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</si>
  <si>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</si>
  <si>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</si>
  <si>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</si>
  <si>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</si>
  <si>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</si>
  <si>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</si>
  <si>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</si>
  <si>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</si>
  <si>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</si>
  <si>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</si>
  <si>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</si>
  <si>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</si>
  <si>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</si>
  <si>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</si>
  <si>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</si>
  <si>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</si>
  <si>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</si>
  <si>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</si>
  <si>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</si>
  <si>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</si>
  <si>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</si>
  <si>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</si>
  <si>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</si>
  <si>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</si>
  <si>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</si>
  <si>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</si>
  <si>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</si>
  <si>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</si>
  <si>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</si>
  <si>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</si>
  <si>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</si>
  <si>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</si>
  <si>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</si>
  <si>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</si>
  <si>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</si>
  <si>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</si>
  <si>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</si>
  <si>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</si>
  <si>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</si>
  <si>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</si>
  <si>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</si>
  <si>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</si>
  <si>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</si>
  <si>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</si>
  <si>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</si>
  <si>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</si>
  <si>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</si>
  <si>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</si>
  <si>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</si>
  <si>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</si>
  <si>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</si>
  <si>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</si>
  <si>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</si>
  <si>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</si>
  <si>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</si>
  <si>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</si>
  <si>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</si>
  <si>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</si>
  <si>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</si>
  <si>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</si>
  <si>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</si>
  <si>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</si>
  <si>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</si>
  <si>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</si>
  <si>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</si>
  <si>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</si>
  <si>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</si>
  <si>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</si>
  <si>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</si>
  <si>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</si>
  <si>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</si>
  <si>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</si>
  <si>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</si>
  <si>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</si>
  <si>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</si>
  <si>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</si>
  <si>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</si>
  <si>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</si>
  <si>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</si>
  <si>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</si>
  <si>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</si>
  <si>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</si>
  <si>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</si>
  <si>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</si>
  <si>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</si>
  <si>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</si>
  <si>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</si>
  <si>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</si>
  <si>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</si>
  <si>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</si>
  <si>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</si>
  <si>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</si>
  <si>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</si>
  <si>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</si>
  <si>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</si>
  <si>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</si>
  <si>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</si>
  <si>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</si>
  <si>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</si>
  <si>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</si>
  <si>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</si>
  <si>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</si>
  <si>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</si>
  <si>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</si>
  <si>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</si>
  <si>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</si>
  <si>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</si>
  <si>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</si>
  <si>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</si>
  <si>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</si>
  <si>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</si>
  <si>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</si>
  <si>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</si>
  <si>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</si>
  <si>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</si>
  <si>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</si>
  <si>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</si>
  <si>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</si>
  <si>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</si>
  <si>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</si>
  <si>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</si>
  <si>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</si>
  <si>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</si>
  <si>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</si>
  <si>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</si>
  <si>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</si>
  <si>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</si>
  <si>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</si>
  <si>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</si>
  <si>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</si>
  <si>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</si>
  <si>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</si>
  <si>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</si>
  <si>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</si>
  <si>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</si>
  <si>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</si>
  <si>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</si>
  <si>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</si>
  <si>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</si>
  <si>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</si>
  <si>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</si>
  <si>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</si>
  <si>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</si>
  <si>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</si>
  <si>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</si>
  <si>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</si>
  <si>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</si>
  <si>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</si>
  <si>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</si>
  <si>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</si>
  <si>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</si>
  <si>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</si>
  <si>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</si>
  <si>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</si>
  <si>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</si>
  <si>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</si>
  <si>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</si>
  <si>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</si>
  <si>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</si>
  <si>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</si>
  <si>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</si>
  <si>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</si>
  <si>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</si>
  <si>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</si>
  <si>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</si>
  <si>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</si>
  <si>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</si>
  <si>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</si>
  <si>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</si>
  <si>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</si>
  <si>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</si>
  <si>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</si>
  <si>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</si>
  <si>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</si>
  <si>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</si>
  <si>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</si>
  <si>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</si>
  <si>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</si>
  <si>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</si>
  <si>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</si>
  <si>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</si>
  <si>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</si>
  <si>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</si>
  <si>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</si>
  <si>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</si>
  <si>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</si>
  <si>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</si>
  <si>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</si>
  <si>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</si>
  <si>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</si>
  <si>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</si>
  <si>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</si>
  <si>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</si>
  <si>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</si>
  <si>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</si>
  <si>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</si>
  <si>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</si>
  <si>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</si>
  <si>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</si>
  <si>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</si>
  <si>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</si>
  <si>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</si>
  <si>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</si>
  <si>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4.5</t>
  </si>
  <si>
    <t>5</t>
  </si>
  <si>
    <t>0.047</t>
  </si>
  <si>
    <t>定風量制御</t>
  </si>
  <si>
    <t>全熱交換器無し</t>
  </si>
  <si>
    <t>PA11</t>
  </si>
  <si>
    <t>全熱交ユニット</t>
  </si>
  <si>
    <t>0.17</t>
  </si>
  <si>
    <t>全熱交換器あり・様式2-9記載無し</t>
  </si>
  <si>
    <t>480</t>
  </si>
  <si>
    <t>60.0</t>
  </si>
  <si>
    <t>HEU-1</t>
  </si>
  <si>
    <t>14</t>
  </si>
  <si>
    <t>16</t>
  </si>
  <si>
    <t>0.209</t>
  </si>
  <si>
    <t>PA12</t>
  </si>
  <si>
    <t>PA21</t>
  </si>
  <si>
    <t>HEU-2</t>
  </si>
  <si>
    <t>3.2</t>
  </si>
  <si>
    <t>0.033</t>
  </si>
  <si>
    <t>PA22</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</si>
  <si>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</si>
  <si>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</si>
  <si>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</si>
  <si>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</si>
  <si>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</si>
  <si>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</si>
  <si>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</si>
  <si>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</si>
  <si>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</si>
  <si>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</si>
  <si>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</si>
  <si>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</si>
  <si>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</si>
  <si>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</si>
  <si>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</si>
  <si>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</si>
  <si>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</si>
  <si>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</si>
  <si>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</si>
  <si>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</si>
  <si>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</si>
  <si>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</si>
  <si>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</si>
  <si>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</si>
  <si>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</si>
  <si>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</si>
  <si>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</si>
  <si>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</si>
  <si>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</si>
  <si>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</si>
  <si>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</si>
  <si>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</si>
  <si>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</si>
  <si>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</si>
  <si>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</si>
  <si>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</si>
  <si>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</si>
  <si>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</si>
  <si>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</si>
  <si>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</si>
  <si>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</si>
  <si>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</si>
  <si>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</si>
  <si>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[m3/h]</t>
  </si>
  <si>
    <t>[kW]</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</si>
  <si>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</si>
  <si>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</si>
  <si>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</si>
  <si>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</si>
  <si>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</si>
  <si>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</si>
  <si>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</si>
  <si>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</si>
  <si>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</si>
  <si>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</si>
  <si>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</si>
  <si>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</si>
  <si>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</si>
  <si>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</si>
  <si>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</si>
  <si>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</si>
  <si>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</si>
  <si>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</si>
  <si>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</si>
  <si>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</si>
  <si>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</si>
  <si>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</si>
  <si>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</si>
  <si>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</si>
  <si>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</si>
  <si>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</si>
  <si>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</si>
  <si>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</si>
  <si>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</si>
  <si>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</si>
  <si>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</si>
  <si>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</si>
  <si>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</si>
  <si>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</si>
  <si>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</si>
  <si>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</si>
  <si>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</si>
  <si>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</si>
  <si>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</si>
  <si>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</si>
  <si>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</si>
  <si>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</si>
  <si>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</si>
  <si>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</si>
  <si>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</si>
  <si>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</si>
  <si>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</si>
  <si>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</si>
  <si>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</si>
  <si>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</si>
  <si>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</si>
  <si>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</si>
  <si>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</si>
  <si>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</si>
  <si>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</si>
  <si>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</si>
  <si>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</si>
  <si>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</si>
  <si>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</si>
  <si>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</si>
  <si>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</si>
  <si>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</si>
  <si>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</si>
  <si>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</si>
  <si>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</si>
  <si>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</si>
  <si>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</si>
  <si>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</si>
  <si>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</si>
  <si>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</si>
  <si>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</si>
  <si>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</si>
  <si>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</si>
  <si>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</si>
  <si>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</si>
  <si>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</si>
  <si>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</si>
  <si>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</si>
  <si>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</si>
  <si>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</si>
  <si>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</si>
  <si>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</si>
  <si>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</si>
  <si>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</si>
  <si>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</si>
  <si>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</si>
  <si>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</si>
  <si>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</si>
  <si>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</si>
  <si>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</si>
  <si>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</si>
  <si>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</si>
  <si>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</si>
  <si>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</si>
  <si>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</si>
  <si>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</si>
  <si>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</si>
  <si>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</si>
  <si>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</si>
  <si>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</si>
  <si>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</si>
  <si>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</si>
  <si>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</si>
  <si>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</si>
  <si>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</si>
  <si>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</si>
  <si>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</si>
  <si>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</si>
  <si>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</si>
  <si>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</si>
  <si>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</si>
  <si>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</si>
  <si>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</si>
  <si>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</si>
  <si>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</si>
  <si>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</si>
  <si>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</si>
  <si>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</si>
  <si>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</si>
  <si>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</si>
  <si>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</si>
  <si>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</si>
  <si>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</si>
  <si>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</si>
  <si>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</si>
  <si>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</si>
  <si>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</si>
  <si>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</si>
  <si>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</si>
  <si>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</si>
  <si>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</si>
  <si>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</si>
  <si>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</si>
  <si>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</si>
  <si>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</si>
  <si>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</si>
  <si>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</si>
  <si>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</si>
  <si>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</si>
  <si>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</si>
  <si>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</si>
  <si>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</si>
  <si>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</si>
  <si>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</si>
  <si>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</si>
  <si>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</si>
  <si>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</si>
  <si>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</si>
  <si>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</si>
  <si>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</si>
  <si>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</si>
  <si>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</si>
  <si>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</si>
  <si>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</si>
  <si>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</si>
  <si>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</si>
  <si>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</si>
  <si>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</si>
  <si>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</si>
  <si>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</si>
  <si>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</si>
  <si>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</si>
  <si>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</si>
  <si>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事務所モデル</t>
  </si>
  <si>
    <t>樹脂製(単板ガラス)</t>
  </si>
  <si>
    <t>定流量制御</t>
  </si>
  <si>
    <t>空調機</t>
  </si>
  <si>
    <t>CO濃度制御</t>
  </si>
  <si>
    <t>エレベータ機械室</t>
  </si>
  <si>
    <t>裸管</t>
  </si>
  <si>
    <t>VVVF(電力回生あり、ギアレス)</t>
  </si>
  <si>
    <t>結晶系</t>
  </si>
  <si>
    <t>架台設置形</t>
  </si>
  <si>
    <t>静止形</t>
  </si>
  <si>
    <t>A2</t>
  </si>
  <si>
    <t>ホテル等</t>
  </si>
  <si>
    <t>ビジネスホテルモデル</t>
  </si>
  <si>
    <t>樹脂製(複層ガラス)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</si>
  <si>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</si>
  <si>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</si>
  <si>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</si>
  <si>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</si>
  <si>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</si>
  <si>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</si>
  <si>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</si>
  <si>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</si>
  <si>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</si>
  <si>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</si>
  <si>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</si>
  <si>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</si>
  <si>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</si>
  <si>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</si>
  <si>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</si>
  <si>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</si>
  <si>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</si>
  <si>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</si>
  <si>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</si>
  <si>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</si>
  <si>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3番目</t>
  </si>
  <si>
    <t>循環</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</si>
  <si>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</si>
  <si>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</si>
  <si>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</si>
  <si>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</si>
  <si>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</si>
  <si>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</si>
  <si>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</si>
  <si>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</si>
  <si>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</si>
  <si>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</si>
  <si>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</si>
  <si>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</si>
  <si>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</si>
  <si>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</si>
  <si>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</si>
  <si>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</si>
  <si>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</si>
  <si>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</si>
  <si>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</si>
  <si>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</si>
  <si>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</si>
  <si>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</si>
  <si>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</si>
  <si>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</si>
  <si>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</si>
  <si>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</si>
  <si>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</si>
  <si>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</si>
  <si>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</si>
  <si>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</si>
  <si>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</si>
  <si>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</si>
  <si>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</si>
  <si>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</si>
  <si>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</si>
  <si>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</si>
  <si>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</si>
  <si>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</si>
  <si>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7</t>
  </si>
  <si>
    <t>集会所等</t>
  </si>
  <si>
    <t>大規模物販モデル</t>
  </si>
  <si>
    <t>7番目</t>
  </si>
  <si>
    <t>天井放射冷暖房パネル</t>
  </si>
  <si>
    <t>調光方式W20BL</t>
  </si>
  <si>
    <t>他人から供給された熱(蒸気)</t>
  </si>
  <si>
    <t>保温仕様2</t>
  </si>
  <si>
    <t>8</t>
  </si>
  <si>
    <t>工場等</t>
  </si>
  <si>
    <t>小規模物販モデル</t>
  </si>
  <si>
    <t>金属木複合製(複層ガラス)</t>
  </si>
  <si>
    <t>北西</t>
  </si>
  <si>
    <t>8番目</t>
  </si>
  <si>
    <t>調光方式W25</t>
  </si>
  <si>
    <t>保温仕様3</t>
  </si>
  <si>
    <t>共同住宅</t>
  </si>
  <si>
    <t>学校モデル</t>
  </si>
  <si>
    <t>金属製(単板ガラス)</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</si>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</sst>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2121</v>
      </c>
      <c r="D13" s="887"/>
      <c r="E13" s="887"/>
      <c r="F13" s="888"/>
      <c r="G13" s="47"/>
      <c r="H13" s="959"/>
    </row>
    <row r="14" ht="40.5" customHeight="1">
      <c r="A14" s="882" t="s">
        <v>2122</v>
      </c>
      <c r="B14" s="884" t="s">
        <v>2123</v>
      </c>
      <c r="C14" s="220" t="s">
        <v>2124</v>
      </c>
      <c r="D14" s="405" t="s">
        <v>2125</v>
      </c>
      <c r="E14" s="219" t="s">
        <v>2126</v>
      </c>
      <c r="F14" s="889" t="s">
        <v>2127</v>
      </c>
      <c r="G14" s="960"/>
      <c r="H14" s="49"/>
    </row>
    <row r="15" ht="40.5" customHeight="1">
      <c r="A15" s="882" t="s">
        <v>2128</v>
      </c>
      <c r="B15" s="884" t="s">
        <v>2129</v>
      </c>
      <c r="C15" s="889" t="s">
        <v>2130</v>
      </c>
      <c r="D15" s="887"/>
      <c r="E15" s="887"/>
      <c r="F15" s="888"/>
    </row>
    <row r="16" ht="40.5" customHeight="1">
      <c r="A16" s="882" t="s">
        <v>2131</v>
      </c>
      <c r="B16" s="884" t="s">
        <v>2132</v>
      </c>
      <c r="C16" s="889" t="s">
        <v>2133</v>
      </c>
      <c r="D16" s="887"/>
      <c r="E16" s="887"/>
      <c r="F16" s="888"/>
    </row>
    <row r="17" ht="40.5" customHeight="1">
      <c r="A17" s="595" t="s">
        <v>2134</v>
      </c>
      <c r="B17" s="596" t="s">
        <v>2135</v>
      </c>
      <c r="C17" s="897" t="s">
        <v>2136</v>
      </c>
      <c r="D17" s="898"/>
      <c r="E17" s="898"/>
      <c r="F17" s="899"/>
    </row>
    <row r="18" ht="40.5" customHeight="1">
      <c r="A18" s="882" t="s">
        <v>2137</v>
      </c>
      <c r="B18" s="599" t="s">
        <v>2138</v>
      </c>
      <c r="C18" s="896" t="s">
        <v>2139</v>
      </c>
      <c r="D18" s="887"/>
      <c r="E18" s="887"/>
      <c r="F18" s="888"/>
    </row>
    <row r="19" ht="58.5" customHeight="1">
      <c r="A19" s="882" t="s">
        <v>2140</v>
      </c>
      <c r="B19" s="599" t="s">
        <v>2141</v>
      </c>
      <c r="C19" s="889" t="s">
        <v>2142</v>
      </c>
      <c r="D19" s="887"/>
      <c r="E19" s="887"/>
      <c r="F19" s="888"/>
    </row>
    <row r="20" ht="58.5" customHeight="1">
      <c r="A20" s="600" t="s">
        <v>2143</v>
      </c>
      <c r="B20" s="601" t="s">
        <v>2144</v>
      </c>
      <c r="C20" s="890" t="s">
        <v>2142</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EC-BI9" error="地域区分に不正な値が入力されています。選択項目から選択してください。" type="list" errorStyle="warning">
      <formula1>data!$A$2:$A$9</formula1>
    </dataValidation>
    <dataValidation sqref="C18" showErrorMessage="1" showInputMessage="1" allowBlank="1" errorTitle="EC-BI26"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2145</v>
      </c>
      <c r="B4" s="901"/>
      <c r="C4" s="901"/>
      <c r="D4" s="901"/>
      <c r="E4" s="901"/>
      <c r="F4" s="901"/>
      <c r="G4" s="901"/>
      <c r="H4" s="902"/>
      <c r="I4" s="849" t="s">
        <v>2119</v>
      </c>
      <c r="J4" s="696" t="s">
        <v>2119</v>
      </c>
      <c r="K4" s="696" t="s">
        <v>2119</v>
      </c>
      <c r="L4" s="697" t="s">
        <v>2119</v>
      </c>
      <c r="M4" s="965" t="s">
        <v>2122</v>
      </c>
      <c r="N4" s="965" t="s">
        <v>2128</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2146</v>
      </c>
      <c r="B6" s="840" t="s">
        <v>2147</v>
      </c>
      <c r="C6" s="737" t="s">
        <v>2148</v>
      </c>
      <c r="D6" s="905" t="s">
        <v>2149</v>
      </c>
      <c r="E6" s="901"/>
      <c r="F6" s="756" t="s">
        <v>2150</v>
      </c>
      <c r="G6" s="912" t="s">
        <v>2151</v>
      </c>
      <c r="H6" s="199" t="s">
        <v>2152</v>
      </c>
      <c r="I6" s="849" t="s">
        <v>2153</v>
      </c>
      <c r="J6" s="696" t="s">
        <v>2154</v>
      </c>
      <c r="K6" s="696" t="s">
        <v>2155</v>
      </c>
      <c r="L6" s="697" t="s">
        <v>2156</v>
      </c>
      <c r="M6" s="859" t="s">
        <v>2157</v>
      </c>
      <c r="N6" s="970" t="s">
        <v>2158</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2159</v>
      </c>
      <c r="E8" s="209" t="s">
        <v>2160</v>
      </c>
      <c r="F8" s="846" t="s">
        <v>2161</v>
      </c>
      <c r="G8" s="208" t="s">
        <v>2162</v>
      </c>
      <c r="H8" s="209" t="s">
        <v>2162</v>
      </c>
      <c r="I8" s="850"/>
      <c r="J8" s="698"/>
      <c r="K8" s="698"/>
      <c r="L8" s="699"/>
      <c r="M8" s="860"/>
      <c r="N8" s="971"/>
    </row>
    <row r="9" ht="15.75" customHeight="1" s="695" customFormat="1">
      <c r="A9" s="325"/>
      <c r="B9" s="326"/>
      <c r="C9" s="847" t="s">
        <v>2163</v>
      </c>
      <c r="D9" s="848" t="s">
        <v>2163</v>
      </c>
      <c r="E9" s="848" t="s">
        <v>2163</v>
      </c>
      <c r="F9" s="972"/>
      <c r="G9" s="973"/>
      <c r="H9" s="974"/>
      <c r="I9" s="700" t="s">
        <v>2163</v>
      </c>
      <c r="J9" s="701" t="s">
        <v>2163</v>
      </c>
      <c r="K9" s="701" t="s">
        <v>2163</v>
      </c>
      <c r="L9" s="702" t="s">
        <v>2163</v>
      </c>
      <c r="M9" s="278" t="s">
        <v>2164</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2165</v>
      </c>
      <c r="B11" s="716" t="s">
        <v>2166</v>
      </c>
      <c r="C11" s="110" t="s">
        <v>2167</v>
      </c>
      <c r="D11" s="110" t="s">
        <v>2167</v>
      </c>
      <c r="E11" s="717" t="s">
        <v>2168</v>
      </c>
      <c r="F11" s="718" t="s">
        <v>2169</v>
      </c>
      <c r="G11" s="717" t="s">
        <v>2170</v>
      </c>
      <c r="H11" s="716" t="s">
        <v>2171</v>
      </c>
      <c r="I11" s="719" t="s">
        <v>2172</v>
      </c>
      <c r="J11" s="720" t="s">
        <v>2173</v>
      </c>
      <c r="K11" s="720" t="s">
        <v>2172</v>
      </c>
      <c r="L11" s="720" t="s">
        <v>2172</v>
      </c>
      <c r="M11" s="721" t="s">
        <v>2173</v>
      </c>
      <c r="N11" s="721" t="s">
        <v>2173</v>
      </c>
    </row>
    <row r="12" ht="31.5" customHeight="1">
      <c r="A12" s="723" t="s">
        <v>2165</v>
      </c>
      <c r="B12" s="724" t="s">
        <v>2174</v>
      </c>
      <c r="C12" s="725" t="s">
        <v>2167</v>
      </c>
      <c r="D12" s="836" t="s">
        <v>2167</v>
      </c>
      <c r="E12" s="726" t="s">
        <v>2175</v>
      </c>
      <c r="F12" s="727" t="s">
        <v>2176</v>
      </c>
      <c r="G12" s="728" t="s">
        <v>2170</v>
      </c>
      <c r="H12" s="724" t="s">
        <v>2177</v>
      </c>
      <c r="I12" s="729" t="s">
        <v>2173</v>
      </c>
      <c r="J12" s="730" t="s">
        <v>2172</v>
      </c>
      <c r="K12" s="730" t="s">
        <v>2172</v>
      </c>
      <c r="L12" s="730" t="s">
        <v>2173</v>
      </c>
      <c r="M12" s="731" t="s">
        <v>2173</v>
      </c>
      <c r="N12" s="732" t="s">
        <v>2173</v>
      </c>
    </row>
    <row r="13" ht="31.5" customHeight="1">
      <c r="A13" s="723" t="s">
        <v>2165</v>
      </c>
      <c r="B13" s="724" t="s">
        <v>2178</v>
      </c>
      <c r="C13" s="725" t="s">
        <v>2167</v>
      </c>
      <c r="D13" s="836" t="s">
        <v>2167</v>
      </c>
      <c r="E13" s="726" t="s">
        <v>2179</v>
      </c>
      <c r="F13" s="727" t="s">
        <v>2180</v>
      </c>
      <c r="G13" s="728" t="s">
        <v>2170</v>
      </c>
      <c r="H13" s="724" t="s">
        <v>2170</v>
      </c>
      <c r="I13" s="729" t="s">
        <v>2173</v>
      </c>
      <c r="J13" s="730" t="s">
        <v>2173</v>
      </c>
      <c r="K13" s="730" t="s">
        <v>2173</v>
      </c>
      <c r="L13" s="730" t="s">
        <v>2173</v>
      </c>
      <c r="M13" s="731" t="s">
        <v>2173</v>
      </c>
      <c r="N13" s="732" t="s">
        <v>2173</v>
      </c>
    </row>
    <row r="14" ht="31.5" customHeight="1">
      <c r="A14" s="723" t="s">
        <v>2165</v>
      </c>
      <c r="B14" s="724" t="s">
        <v>2181</v>
      </c>
      <c r="C14" s="725" t="s">
        <v>2167</v>
      </c>
      <c r="D14" s="836" t="s">
        <v>2167</v>
      </c>
      <c r="E14" s="726" t="s">
        <v>2175</v>
      </c>
      <c r="F14" s="727" t="s">
        <v>2182</v>
      </c>
      <c r="G14" s="728" t="s">
        <v>2170</v>
      </c>
      <c r="H14" s="724" t="s">
        <v>2177</v>
      </c>
      <c r="I14" s="729" t="s">
        <v>2173</v>
      </c>
      <c r="J14" s="730" t="s">
        <v>2172</v>
      </c>
      <c r="K14" s="730" t="s">
        <v>2172</v>
      </c>
      <c r="L14" s="730" t="s">
        <v>2173</v>
      </c>
      <c r="M14" s="731" t="s">
        <v>2173</v>
      </c>
      <c r="N14" s="732" t="s">
        <v>2173</v>
      </c>
    </row>
    <row r="15" ht="31.5" customHeight="1">
      <c r="A15" s="723" t="s">
        <v>2165</v>
      </c>
      <c r="B15" s="724" t="s">
        <v>2183</v>
      </c>
      <c r="C15" s="725" t="s">
        <v>2167</v>
      </c>
      <c r="D15" s="836" t="s">
        <v>2167</v>
      </c>
      <c r="E15" s="726" t="s">
        <v>2184</v>
      </c>
      <c r="F15" s="727" t="s">
        <v>2185</v>
      </c>
      <c r="G15" s="728" t="s">
        <v>2170</v>
      </c>
      <c r="H15" s="724" t="s">
        <v>2177</v>
      </c>
      <c r="I15" s="729" t="s">
        <v>2173</v>
      </c>
      <c r="J15" s="730" t="s">
        <v>2172</v>
      </c>
      <c r="K15" s="730" t="s">
        <v>2172</v>
      </c>
      <c r="L15" s="730" t="s">
        <v>2173</v>
      </c>
      <c r="M15" s="731" t="s">
        <v>2173</v>
      </c>
      <c r="N15" s="732" t="s">
        <v>2173</v>
      </c>
    </row>
    <row r="16" ht="31.5" customHeight="1">
      <c r="A16" s="723" t="s">
        <v>2165</v>
      </c>
      <c r="B16" s="724" t="s">
        <v>2186</v>
      </c>
      <c r="C16" s="725" t="s">
        <v>2167</v>
      </c>
      <c r="D16" s="836" t="s">
        <v>2167</v>
      </c>
      <c r="E16" s="726" t="s">
        <v>2187</v>
      </c>
      <c r="F16" s="727" t="s">
        <v>2188</v>
      </c>
      <c r="G16" s="728" t="s">
        <v>2170</v>
      </c>
      <c r="H16" s="724" t="s">
        <v>2171</v>
      </c>
      <c r="I16" s="729" t="s">
        <v>2173</v>
      </c>
      <c r="J16" s="730" t="s">
        <v>2173</v>
      </c>
      <c r="K16" s="730" t="s">
        <v>2172</v>
      </c>
      <c r="L16" s="730" t="s">
        <v>2173</v>
      </c>
      <c r="M16" s="731" t="s">
        <v>2173</v>
      </c>
      <c r="N16" s="732" t="s">
        <v>2173</v>
      </c>
    </row>
    <row r="17" ht="31.5" customHeight="1">
      <c r="A17" s="723" t="s">
        <v>2165</v>
      </c>
      <c r="B17" s="724" t="s">
        <v>2189</v>
      </c>
      <c r="C17" s="725" t="s">
        <v>2167</v>
      </c>
      <c r="D17" s="836" t="s">
        <v>2167</v>
      </c>
      <c r="E17" s="726" t="s">
        <v>2190</v>
      </c>
      <c r="F17" s="727" t="s">
        <v>2191</v>
      </c>
      <c r="G17" s="728" t="s">
        <v>2170</v>
      </c>
      <c r="H17" s="724" t="s">
        <v>2171</v>
      </c>
      <c r="I17" s="729" t="s">
        <v>2172</v>
      </c>
      <c r="J17" s="730" t="s">
        <v>2173</v>
      </c>
      <c r="K17" s="730" t="s">
        <v>2172</v>
      </c>
      <c r="L17" s="730" t="s">
        <v>2173</v>
      </c>
      <c r="M17" s="731" t="s">
        <v>2173</v>
      </c>
      <c r="N17" s="732" t="s">
        <v>2173</v>
      </c>
    </row>
    <row r="18" ht="31.5" customHeight="1">
      <c r="A18" s="723" t="s">
        <v>2165</v>
      </c>
      <c r="B18" s="724" t="s">
        <v>2192</v>
      </c>
      <c r="C18" s="725" t="s">
        <v>2167</v>
      </c>
      <c r="D18" s="836" t="s">
        <v>2167</v>
      </c>
      <c r="E18" s="726" t="s">
        <v>2187</v>
      </c>
      <c r="F18" s="727" t="s">
        <v>2193</v>
      </c>
      <c r="G18" s="728" t="s">
        <v>2170</v>
      </c>
      <c r="H18" s="724" t="s">
        <v>2170</v>
      </c>
      <c r="I18" s="729" t="s">
        <v>2173</v>
      </c>
      <c r="J18" s="730" t="s">
        <v>2173</v>
      </c>
      <c r="K18" s="730" t="s">
        <v>2172</v>
      </c>
      <c r="L18" s="730" t="s">
        <v>2173</v>
      </c>
      <c r="M18" s="731" t="s">
        <v>2173</v>
      </c>
      <c r="N18" s="732" t="s">
        <v>2173</v>
      </c>
    </row>
    <row r="19" ht="31.5" customHeight="1">
      <c r="A19" s="723" t="s">
        <v>2165</v>
      </c>
      <c r="B19" s="724" t="s">
        <v>2194</v>
      </c>
      <c r="C19" s="725" t="s">
        <v>2167</v>
      </c>
      <c r="D19" s="836" t="s">
        <v>2167</v>
      </c>
      <c r="E19" s="726" t="s">
        <v>2194</v>
      </c>
      <c r="F19" s="727" t="s">
        <v>2195</v>
      </c>
      <c r="G19" s="728" t="s">
        <v>2170</v>
      </c>
      <c r="H19" s="724" t="s">
        <v>2177</v>
      </c>
      <c r="I19" s="729" t="s">
        <v>2172</v>
      </c>
      <c r="J19" s="730" t="s">
        <v>2173</v>
      </c>
      <c r="K19" s="730" t="s">
        <v>2172</v>
      </c>
      <c r="L19" s="730" t="s">
        <v>2172</v>
      </c>
      <c r="M19" s="731" t="s">
        <v>2173</v>
      </c>
      <c r="N19" s="732" t="s">
        <v>2173</v>
      </c>
    </row>
    <row r="20" ht="31.5" customHeight="1">
      <c r="A20" s="723" t="s">
        <v>2196</v>
      </c>
      <c r="B20" s="724" t="s">
        <v>2197</v>
      </c>
      <c r="C20" s="725" t="s">
        <v>2167</v>
      </c>
      <c r="D20" s="836" t="s">
        <v>2167</v>
      </c>
      <c r="E20" s="726" t="s">
        <v>2198</v>
      </c>
      <c r="F20" s="727" t="s">
        <v>2199</v>
      </c>
      <c r="G20" s="728" t="s">
        <v>2200</v>
      </c>
      <c r="H20" s="724" t="s">
        <v>2201</v>
      </c>
      <c r="I20" s="729" t="s">
        <v>2173</v>
      </c>
      <c r="J20" s="730" t="s">
        <v>2172</v>
      </c>
      <c r="K20" s="730" t="s">
        <v>2172</v>
      </c>
      <c r="L20" s="730" t="s">
        <v>2173</v>
      </c>
      <c r="M20" s="731" t="s">
        <v>2173</v>
      </c>
      <c r="N20" s="732" t="s">
        <v>2173</v>
      </c>
    </row>
    <row r="21" ht="31.5" customHeight="1">
      <c r="A21" s="723" t="s">
        <v>2196</v>
      </c>
      <c r="B21" s="724" t="s">
        <v>2202</v>
      </c>
      <c r="C21" s="725" t="s">
        <v>2167</v>
      </c>
      <c r="D21" s="836" t="s">
        <v>2167</v>
      </c>
      <c r="E21" s="726" t="s">
        <v>2198</v>
      </c>
      <c r="F21" s="727" t="s">
        <v>2203</v>
      </c>
      <c r="G21" s="728" t="s">
        <v>2200</v>
      </c>
      <c r="H21" s="724" t="s">
        <v>2201</v>
      </c>
      <c r="I21" s="729" t="s">
        <v>2173</v>
      </c>
      <c r="J21" s="730" t="s">
        <v>2172</v>
      </c>
      <c r="K21" s="730" t="s">
        <v>2172</v>
      </c>
      <c r="L21" s="730" t="s">
        <v>2173</v>
      </c>
      <c r="M21" s="731" t="s">
        <v>2173</v>
      </c>
      <c r="N21" s="732" t="s">
        <v>2173</v>
      </c>
    </row>
    <row r="22" ht="31.5" customHeight="1">
      <c r="A22" s="723" t="s">
        <v>2196</v>
      </c>
      <c r="B22" s="724" t="s">
        <v>2181</v>
      </c>
      <c r="C22" s="725" t="s">
        <v>2167</v>
      </c>
      <c r="D22" s="836" t="s">
        <v>2167</v>
      </c>
      <c r="E22" s="726" t="s">
        <v>2175</v>
      </c>
      <c r="F22" s="727" t="s">
        <v>2204</v>
      </c>
      <c r="G22" s="728" t="s">
        <v>2200</v>
      </c>
      <c r="H22" s="724" t="s">
        <v>2201</v>
      </c>
      <c r="I22" s="729" t="s">
        <v>2173</v>
      </c>
      <c r="J22" s="730" t="s">
        <v>2172</v>
      </c>
      <c r="K22" s="730" t="s">
        <v>2172</v>
      </c>
      <c r="L22" s="730" t="s">
        <v>2173</v>
      </c>
      <c r="M22" s="731" t="s">
        <v>2173</v>
      </c>
      <c r="N22" s="732" t="s">
        <v>2173</v>
      </c>
    </row>
    <row r="23" ht="31.5" customHeight="1">
      <c r="A23" s="723" t="s">
        <v>2196</v>
      </c>
      <c r="B23" s="724" t="s">
        <v>2178</v>
      </c>
      <c r="C23" s="725" t="s">
        <v>2167</v>
      </c>
      <c r="D23" s="836" t="s">
        <v>2167</v>
      </c>
      <c r="E23" s="726" t="s">
        <v>2179</v>
      </c>
      <c r="F23" s="727" t="s">
        <v>2205</v>
      </c>
      <c r="G23" s="728" t="s">
        <v>2200</v>
      </c>
      <c r="H23" s="724" t="s">
        <v>2200</v>
      </c>
      <c r="I23" s="729" t="s">
        <v>2173</v>
      </c>
      <c r="J23" s="730" t="s">
        <v>2173</v>
      </c>
      <c r="K23" s="730" t="s">
        <v>2173</v>
      </c>
      <c r="L23" s="730" t="s">
        <v>2173</v>
      </c>
      <c r="M23" s="731" t="s">
        <v>2173</v>
      </c>
      <c r="N23" s="732" t="s">
        <v>2173</v>
      </c>
    </row>
    <row r="24" ht="31.5" customHeight="1">
      <c r="A24" s="723" t="s">
        <v>2196</v>
      </c>
      <c r="B24" s="724" t="s">
        <v>2174</v>
      </c>
      <c r="C24" s="725" t="s">
        <v>2167</v>
      </c>
      <c r="D24" s="836" t="s">
        <v>2167</v>
      </c>
      <c r="E24" s="726" t="s">
        <v>2175</v>
      </c>
      <c r="F24" s="727" t="s">
        <v>2206</v>
      </c>
      <c r="G24" s="728" t="s">
        <v>2200</v>
      </c>
      <c r="H24" s="724" t="s">
        <v>2201</v>
      </c>
      <c r="I24" s="729" t="s">
        <v>2173</v>
      </c>
      <c r="J24" s="730" t="s">
        <v>2172</v>
      </c>
      <c r="K24" s="730" t="s">
        <v>2172</v>
      </c>
      <c r="L24" s="730" t="s">
        <v>2173</v>
      </c>
      <c r="M24" s="731" t="s">
        <v>2173</v>
      </c>
      <c r="N24" s="732" t="s">
        <v>2173</v>
      </c>
    </row>
    <row r="25" ht="31.5" customHeight="1">
      <c r="A25" s="723" t="s">
        <v>2196</v>
      </c>
      <c r="B25" s="724" t="s">
        <v>2183</v>
      </c>
      <c r="C25" s="725" t="s">
        <v>2167</v>
      </c>
      <c r="D25" s="836" t="s">
        <v>2167</v>
      </c>
      <c r="E25" s="726" t="s">
        <v>2184</v>
      </c>
      <c r="F25" s="727" t="s">
        <v>2207</v>
      </c>
      <c r="G25" s="728" t="s">
        <v>2200</v>
      </c>
      <c r="H25" s="724" t="s">
        <v>2201</v>
      </c>
      <c r="I25" s="729" t="s">
        <v>2173</v>
      </c>
      <c r="J25" s="730" t="s">
        <v>2172</v>
      </c>
      <c r="K25" s="730" t="s">
        <v>2172</v>
      </c>
      <c r="L25" s="730" t="s">
        <v>2173</v>
      </c>
      <c r="M25" s="731" t="s">
        <v>2173</v>
      </c>
      <c r="N25" s="732" t="s">
        <v>2173</v>
      </c>
    </row>
    <row r="26" ht="31.5" customHeight="1">
      <c r="A26" s="723" t="s">
        <v>2196</v>
      </c>
      <c r="B26" s="724" t="s">
        <v>2186</v>
      </c>
      <c r="C26" s="725" t="s">
        <v>2167</v>
      </c>
      <c r="D26" s="836" t="s">
        <v>2167</v>
      </c>
      <c r="E26" s="726" t="s">
        <v>2187</v>
      </c>
      <c r="F26" s="727" t="s">
        <v>2208</v>
      </c>
      <c r="G26" s="728" t="s">
        <v>2200</v>
      </c>
      <c r="H26" s="724" t="s">
        <v>2201</v>
      </c>
      <c r="I26" s="729" t="s">
        <v>2173</v>
      </c>
      <c r="J26" s="730" t="s">
        <v>2173</v>
      </c>
      <c r="K26" s="730" t="s">
        <v>2172</v>
      </c>
      <c r="L26" s="730" t="s">
        <v>2173</v>
      </c>
      <c r="M26" s="731" t="s">
        <v>2173</v>
      </c>
      <c r="N26" s="732" t="s">
        <v>2173</v>
      </c>
    </row>
    <row r="27" ht="31.5" customHeight="1">
      <c r="A27" s="723" t="s">
        <v>2196</v>
      </c>
      <c r="B27" s="724" t="s">
        <v>2209</v>
      </c>
      <c r="C27" s="725" t="s">
        <v>2167</v>
      </c>
      <c r="D27" s="836" t="s">
        <v>2167</v>
      </c>
      <c r="E27" s="726" t="s">
        <v>2187</v>
      </c>
      <c r="F27" s="727" t="s">
        <v>2210</v>
      </c>
      <c r="G27" s="728" t="s">
        <v>2200</v>
      </c>
      <c r="H27" s="724" t="s">
        <v>2201</v>
      </c>
      <c r="I27" s="729" t="s">
        <v>2173</v>
      </c>
      <c r="J27" s="730" t="s">
        <v>2173</v>
      </c>
      <c r="K27" s="730" t="s">
        <v>2172</v>
      </c>
      <c r="L27" s="730" t="s">
        <v>2173</v>
      </c>
      <c r="M27" s="731" t="s">
        <v>2173</v>
      </c>
      <c r="N27" s="732" t="s">
        <v>2173</v>
      </c>
    </row>
    <row r="28" ht="31.5" customHeight="1">
      <c r="A28" s="723" t="s">
        <v>2196</v>
      </c>
      <c r="B28" s="724" t="s">
        <v>2189</v>
      </c>
      <c r="C28" s="725" t="s">
        <v>2167</v>
      </c>
      <c r="D28" s="836" t="s">
        <v>2167</v>
      </c>
      <c r="E28" s="726" t="s">
        <v>2190</v>
      </c>
      <c r="F28" s="727" t="s">
        <v>2211</v>
      </c>
      <c r="G28" s="728" t="s">
        <v>2200</v>
      </c>
      <c r="H28" s="724" t="s">
        <v>2201</v>
      </c>
      <c r="I28" s="729" t="s">
        <v>2172</v>
      </c>
      <c r="J28" s="730" t="s">
        <v>2173</v>
      </c>
      <c r="K28" s="730" t="s">
        <v>2172</v>
      </c>
      <c r="L28" s="730" t="s">
        <v>2173</v>
      </c>
      <c r="M28" s="731" t="s">
        <v>2173</v>
      </c>
      <c r="N28" s="732" t="s">
        <v>2173</v>
      </c>
    </row>
    <row r="29" ht="31.5" customHeight="1">
      <c r="A29" s="723" t="s">
        <v>2196</v>
      </c>
      <c r="B29" s="724" t="s">
        <v>2192</v>
      </c>
      <c r="C29" s="725" t="s">
        <v>2167</v>
      </c>
      <c r="D29" s="836" t="s">
        <v>2167</v>
      </c>
      <c r="E29" s="726" t="s">
        <v>2187</v>
      </c>
      <c r="F29" s="727" t="s">
        <v>2193</v>
      </c>
      <c r="G29" s="728" t="s">
        <v>2200</v>
      </c>
      <c r="H29" s="724" t="s">
        <v>2200</v>
      </c>
      <c r="I29" s="729" t="s">
        <v>2173</v>
      </c>
      <c r="J29" s="730" t="s">
        <v>2173</v>
      </c>
      <c r="K29" s="730" t="s">
        <v>2172</v>
      </c>
      <c r="L29" s="730" t="s">
        <v>2173</v>
      </c>
      <c r="M29" s="731" t="s">
        <v>2173</v>
      </c>
      <c r="N29" s="732" t="s">
        <v>2173</v>
      </c>
    </row>
    <row r="30" ht="31.5" customHeight="1">
      <c r="A30" s="723" t="s">
        <v>2196</v>
      </c>
      <c r="B30" s="724" t="s">
        <v>2194</v>
      </c>
      <c r="C30" s="725" t="s">
        <v>2167</v>
      </c>
      <c r="D30" s="836" t="s">
        <v>2167</v>
      </c>
      <c r="E30" s="726" t="s">
        <v>2194</v>
      </c>
      <c r="F30" s="727" t="s">
        <v>2195</v>
      </c>
      <c r="G30" s="728" t="s">
        <v>2200</v>
      </c>
      <c r="H30" s="724" t="s">
        <v>2201</v>
      </c>
      <c r="I30" s="729" t="s">
        <v>2172</v>
      </c>
      <c r="J30" s="730" t="s">
        <v>2173</v>
      </c>
      <c r="K30" s="730" t="s">
        <v>2172</v>
      </c>
      <c r="L30" s="730" t="s">
        <v>2172</v>
      </c>
      <c r="M30" s="731" t="s">
        <v>2173</v>
      </c>
      <c r="N30" s="732" t="s">
        <v>2173</v>
      </c>
    </row>
    <row r="31" ht="31.5" customHeight="1">
      <c r="A31" s="723" t="s">
        <v>2212</v>
      </c>
      <c r="B31" s="724" t="s">
        <v>2189</v>
      </c>
      <c r="C31" s="725" t="s">
        <v>2167</v>
      </c>
      <c r="D31" s="836" t="s">
        <v>2167</v>
      </c>
      <c r="E31" s="726" t="s">
        <v>2190</v>
      </c>
      <c r="F31" s="727" t="s">
        <v>2211</v>
      </c>
      <c r="G31" s="728" t="s">
        <v>2200</v>
      </c>
      <c r="H31" s="724" t="s">
        <v>2201</v>
      </c>
      <c r="I31" s="729" t="s">
        <v>2173</v>
      </c>
      <c r="J31" s="730" t="s">
        <v>2173</v>
      </c>
      <c r="K31" s="730" t="s">
        <v>2172</v>
      </c>
      <c r="L31" s="730" t="s">
        <v>2173</v>
      </c>
      <c r="M31" s="731" t="s">
        <v>2173</v>
      </c>
      <c r="N31" s="732" t="s">
        <v>2173</v>
      </c>
    </row>
    <row r="32" ht="31.5" customHeight="1">
      <c r="A32" s="723" t="s">
        <v>2212</v>
      </c>
      <c r="B32" s="724" t="s">
        <v>2192</v>
      </c>
      <c r="C32" s="725" t="s">
        <v>2167</v>
      </c>
      <c r="D32" s="836" t="s">
        <v>2167</v>
      </c>
      <c r="E32" s="726" t="s">
        <v>2187</v>
      </c>
      <c r="F32" s="727" t="s">
        <v>2193</v>
      </c>
      <c r="G32" s="728" t="s">
        <v>2200</v>
      </c>
      <c r="H32" s="724" t="s">
        <v>2200</v>
      </c>
      <c r="I32" s="729" t="s">
        <v>2173</v>
      </c>
      <c r="J32" s="730" t="s">
        <v>2173</v>
      </c>
      <c r="K32" s="730" t="s">
        <v>2172</v>
      </c>
      <c r="L32" s="730" t="s">
        <v>2173</v>
      </c>
      <c r="M32" s="731" t="s">
        <v>2173</v>
      </c>
      <c r="N32" s="732" t="s">
        <v>2173</v>
      </c>
    </row>
    <row r="33" ht="31.5" customHeight="1">
      <c r="A33" s="723"/>
      <c r="B33" s="724"/>
      <c r="C33" s="725"/>
      <c r="D33" s="836"/>
      <c r="E33" s="726"/>
      <c r="F33" s="727"/>
      <c r="G33" s="728"/>
      <c r="H33" s="724"/>
      <c r="I33" s="729"/>
      <c r="J33" s="730"/>
      <c r="K33" s="730"/>
      <c r="L33" s="730"/>
      <c r="M33" s="731"/>
      <c r="N33" s="732"/>
    </row>
    <row r="34" ht="31.5" customHeight="1">
      <c r="A34" s="723"/>
      <c r="B34" s="724"/>
      <c r="C34" s="725"/>
      <c r="D34" s="836"/>
      <c r="E34" s="726"/>
      <c r="F34" s="727"/>
      <c r="G34" s="728"/>
      <c r="H34" s="724"/>
      <c r="I34" s="729"/>
      <c r="J34" s="730"/>
      <c r="K34" s="730"/>
      <c r="L34" s="730"/>
      <c r="M34" s="731"/>
      <c r="N34" s="732"/>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EC-RM8" error="建物用途に不正な値が入力されています。選択項目から選択してください。" type="list" errorStyle="warning">
      <formula1>data!$E$2:$E$11</formula1>
    </dataValidation>
    <dataValidation sqref="D11:D1010" showErrorMessage="1" showInputMessage="1" allowBlank="1" errorTitle="EC-AC14" error="室用途（大分類）に不正な値が入力されています。選択項目から選択してください。" type="list" errorStyle="warning">
      <formula1>data!$E$2:$E$11</formula1>
    </dataValidation>
    <dataValidation sqref="E11:E1010" showErrorMessage="1" showInputMessage="1" allowBlank="1" errorTitle="EC-AC15" error="室用途（小分類）に不正な値が入力されています。選択項目から選択してください。" type="list" errorStyle="warning">
      <formula1>INDIRECT(D11)</formula1>
    </dataValidation>
    <dataValidation sqref="I11:I1010" showErrorMessage="1" showInputMessage="1" allowBlank="1" errorTitle="EC-RM24" error="空調計算対象室は■または空白を入力してください。" type="list" errorStyle="warning">
      <formula1>data!$C$2:$C$3</formula1>
    </dataValidation>
    <dataValidation sqref="J11:J1010" showErrorMessage="1" showInputMessage="1" allowBlank="1" errorTitle="EC-RM25" error="換気計算対象室は■または空白を入力してください。" type="list" errorStyle="warning">
      <formula1>data!$C$2:$C$3</formula1>
    </dataValidation>
    <dataValidation sqref="K11:K1010" showErrorMessage="1" showInputMessage="1" allowBlank="1" errorTitle="EC-RM26" error="照明計算対象室は■または空白を入力してください。" type="list" errorStyle="warning">
      <formula1>data!$C$2:$C$3</formula1>
    </dataValidation>
    <dataValidation sqref="L11:L1010" showErrorMessage="1" showInputMessage="1" allowBlank="1" errorTitle="EC-RM27"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2194</v>
      </c>
    </row>
    <row r="2" ht="11.25" customHeight="1" s="30" customFormat="1">
      <c r="A2" s="28"/>
      <c r="B2" s="29"/>
      <c r="C2" s="29"/>
      <c r="D2" s="29"/>
      <c r="E2" s="957"/>
      <c r="F2" s="29"/>
      <c r="G2" s="29"/>
      <c r="O2" s="30" t="s">
        <v>2213</v>
      </c>
    </row>
    <row r="3" ht="11.25" customHeight="1" s="30" customFormat="1">
      <c r="A3" s="28"/>
      <c r="B3" s="29"/>
      <c r="C3" s="29"/>
      <c r="D3" s="29"/>
      <c r="E3" s="957"/>
      <c r="F3" s="29"/>
      <c r="G3" s="29"/>
      <c r="O3" s="30" t="s">
        <v>2168</v>
      </c>
    </row>
    <row r="4" ht="21" customHeight="1" s="21" customFormat="1">
      <c r="A4" s="906" t="s">
        <v>2214</v>
      </c>
      <c r="B4" s="908"/>
      <c r="C4" s="908"/>
      <c r="D4" s="908"/>
      <c r="E4" s="908"/>
      <c r="F4" s="908"/>
      <c r="G4" s="907"/>
      <c r="H4" s="909" t="s">
        <v>2215</v>
      </c>
      <c r="I4" s="907"/>
      <c r="J4" s="906" t="s">
        <v>2216</v>
      </c>
      <c r="K4" s="907"/>
      <c r="L4" s="190" t="s">
        <v>2116</v>
      </c>
      <c r="O4" s="21" t="s">
        <v>2217</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2218</v>
      </c>
    </row>
    <row r="6" ht="31.5" customHeight="1" s="20" customFormat="1">
      <c r="A6" s="198" t="s">
        <v>2146</v>
      </c>
      <c r="B6" s="912" t="s">
        <v>2147</v>
      </c>
      <c r="C6" s="912" t="s">
        <v>2149</v>
      </c>
      <c r="D6" s="913"/>
      <c r="E6" s="199" t="s">
        <v>2150</v>
      </c>
      <c r="F6" s="912" t="s">
        <v>2151</v>
      </c>
      <c r="G6" s="912" t="s">
        <v>2152</v>
      </c>
      <c r="H6" s="193" t="s">
        <v>2146</v>
      </c>
      <c r="I6" s="200" t="s">
        <v>2219</v>
      </c>
      <c r="J6" s="193" t="s">
        <v>2220</v>
      </c>
      <c r="K6" s="201" t="s">
        <v>2221</v>
      </c>
      <c r="L6" s="202" t="s">
        <v>2158</v>
      </c>
      <c r="O6" s="20" t="s">
        <v>2222</v>
      </c>
    </row>
    <row r="7" ht="8.75" customHeight="1" s="21" customFormat="1">
      <c r="A7" s="203"/>
      <c r="B7" s="204"/>
      <c r="C7" s="813"/>
      <c r="D7" s="813"/>
      <c r="E7" s="205"/>
      <c r="F7" s="204"/>
      <c r="G7" s="204"/>
      <c r="H7" s="206"/>
      <c r="I7" s="207"/>
      <c r="J7" s="193"/>
      <c r="K7" s="201"/>
      <c r="L7" s="197"/>
      <c r="O7" s="21" t="s">
        <v>2198</v>
      </c>
    </row>
    <row r="8" ht="15.75" customHeight="1" s="21" customFormat="1">
      <c r="A8" s="189"/>
      <c r="B8" s="208"/>
      <c r="C8" s="208" t="s">
        <v>2159</v>
      </c>
      <c r="D8" s="208" t="s">
        <v>2160</v>
      </c>
      <c r="E8" s="209" t="s">
        <v>2161</v>
      </c>
      <c r="F8" s="208" t="s">
        <v>2162</v>
      </c>
      <c r="G8" s="208" t="s">
        <v>2162</v>
      </c>
      <c r="H8" s="193"/>
      <c r="I8" s="201"/>
      <c r="J8" s="193"/>
      <c r="K8" s="201"/>
      <c r="L8" s="210"/>
      <c r="O8" s="21" t="s">
        <v>2187</v>
      </c>
    </row>
    <row r="9" ht="15.75" customHeight="1" s="21" customFormat="1">
      <c r="A9" s="211" t="s">
        <v>2223</v>
      </c>
      <c r="B9" s="977" t="s">
        <v>2223</v>
      </c>
      <c r="C9" s="208" t="s">
        <v>2223</v>
      </c>
      <c r="D9" s="208" t="s">
        <v>2223</v>
      </c>
      <c r="E9" s="978" t="s">
        <v>2223</v>
      </c>
      <c r="F9" s="977" t="s">
        <v>2223</v>
      </c>
      <c r="G9" s="977" t="s">
        <v>2223</v>
      </c>
      <c r="H9" s="212"/>
      <c r="I9" s="213"/>
      <c r="J9" s="214" t="s">
        <v>2223</v>
      </c>
      <c r="K9" s="215" t="s">
        <v>2223</v>
      </c>
      <c r="L9" s="210"/>
      <c r="O9" s="21" t="s">
        <v>2190</v>
      </c>
    </row>
    <row r="10" ht="10.25" customHeight="1" s="20" customFormat="1">
      <c r="A10" s="610"/>
      <c r="B10" s="979"/>
      <c r="C10" s="597"/>
      <c r="D10" s="597"/>
      <c r="E10" s="980"/>
      <c r="F10" s="979"/>
      <c r="G10" s="979"/>
      <c r="H10" s="613"/>
      <c r="I10" s="611"/>
      <c r="J10" s="613"/>
      <c r="K10" s="611"/>
      <c r="L10" s="981"/>
      <c r="O10" s="20" t="s">
        <v>2175</v>
      </c>
    </row>
    <row r="11" ht="24.75" customHeight="1">
      <c r="A11" s="400" t="s">
        <v>2165</v>
      </c>
      <c r="B11" s="401" t="s">
        <v>2166</v>
      </c>
      <c r="C11" s="101" t="s">
        <v>2167</v>
      </c>
      <c r="D11" s="101" t="s">
        <v>2168</v>
      </c>
      <c r="E11" s="612" t="s">
        <v>2169</v>
      </c>
      <c r="F11" s="401" t="s">
        <v>2170</v>
      </c>
      <c r="G11" s="401" t="s">
        <v>2171</v>
      </c>
      <c r="H11" s="400" t="s">
        <v>2165</v>
      </c>
      <c r="I11" s="100" t="s">
        <v>2166</v>
      </c>
      <c r="J11" s="400" t="s">
        <v>2224</v>
      </c>
      <c r="K11" s="402" t="s">
        <v>2224</v>
      </c>
      <c r="L11" s="399" t="s">
        <v>2173</v>
      </c>
      <c r="O11" s="17" t="s">
        <v>2225</v>
      </c>
    </row>
    <row r="12" ht="24.75" customHeight="1">
      <c r="A12" s="129" t="s">
        <v>2165</v>
      </c>
      <c r="B12" s="132" t="s">
        <v>2189</v>
      </c>
      <c r="C12" s="106" t="s">
        <v>2167</v>
      </c>
      <c r="D12" s="106" t="s">
        <v>2190</v>
      </c>
      <c r="E12" s="127" t="s">
        <v>2191</v>
      </c>
      <c r="F12" s="128" t="s">
        <v>2170</v>
      </c>
      <c r="G12" s="128" t="s">
        <v>2171</v>
      </c>
      <c r="H12" s="129" t="s">
        <v>2165</v>
      </c>
      <c r="I12" s="104" t="s">
        <v>2189</v>
      </c>
      <c r="J12" s="420" t="s">
        <v>2226</v>
      </c>
      <c r="K12" s="421" t="s">
        <v>2226</v>
      </c>
      <c r="L12" s="130" t="s">
        <v>2173</v>
      </c>
      <c r="O12" s="17" t="s">
        <v>2227</v>
      </c>
    </row>
    <row r="13" ht="24.75" customHeight="1">
      <c r="A13" s="129" t="s">
        <v>2165</v>
      </c>
      <c r="B13" s="131" t="s">
        <v>2194</v>
      </c>
      <c r="C13" s="106" t="s">
        <v>2167</v>
      </c>
      <c r="D13" s="106" t="s">
        <v>2194</v>
      </c>
      <c r="E13" s="127" t="s">
        <v>2195</v>
      </c>
      <c r="F13" s="128" t="s">
        <v>2170</v>
      </c>
      <c r="G13" s="128" t="s">
        <v>2177</v>
      </c>
      <c r="H13" s="129" t="s">
        <v>2165</v>
      </c>
      <c r="I13" s="104" t="s">
        <v>2194</v>
      </c>
      <c r="J13" s="420" t="s">
        <v>2228</v>
      </c>
      <c r="K13" s="421" t="s">
        <v>2228</v>
      </c>
      <c r="L13" s="130" t="s">
        <v>2173</v>
      </c>
      <c r="O13" s="17" t="s">
        <v>2229</v>
      </c>
    </row>
    <row r="14" ht="24.75" customHeight="1">
      <c r="A14" s="129" t="s">
        <v>2196</v>
      </c>
      <c r="B14" s="132" t="s">
        <v>2189</v>
      </c>
      <c r="C14" s="106" t="s">
        <v>2167</v>
      </c>
      <c r="D14" s="106" t="s">
        <v>2190</v>
      </c>
      <c r="E14" s="127" t="s">
        <v>2211</v>
      </c>
      <c r="F14" s="128" t="s">
        <v>2200</v>
      </c>
      <c r="G14" s="128" t="s">
        <v>2201</v>
      </c>
      <c r="H14" s="129" t="s">
        <v>2196</v>
      </c>
      <c r="I14" s="104" t="s">
        <v>2189</v>
      </c>
      <c r="J14" s="420" t="s">
        <v>2230</v>
      </c>
      <c r="K14" s="421" t="s">
        <v>2230</v>
      </c>
      <c r="L14" s="130" t="s">
        <v>2173</v>
      </c>
      <c r="O14" s="17" t="s">
        <v>2179</v>
      </c>
    </row>
    <row r="15" ht="24.75" customHeight="1">
      <c r="A15" s="129" t="s">
        <v>2196</v>
      </c>
      <c r="B15" s="131" t="s">
        <v>2194</v>
      </c>
      <c r="C15" s="106" t="s">
        <v>2167</v>
      </c>
      <c r="D15" s="106" t="s">
        <v>2194</v>
      </c>
      <c r="E15" s="127" t="s">
        <v>2195</v>
      </c>
      <c r="F15" s="128" t="s">
        <v>2200</v>
      </c>
      <c r="G15" s="128" t="s">
        <v>2201</v>
      </c>
      <c r="H15" s="129" t="s">
        <v>2196</v>
      </c>
      <c r="I15" s="104" t="s">
        <v>2194</v>
      </c>
      <c r="J15" s="420" t="s">
        <v>2231</v>
      </c>
      <c r="K15" s="421" t="s">
        <v>2231</v>
      </c>
      <c r="L15" s="130" t="s">
        <v>2173</v>
      </c>
      <c r="O15" s="17" t="s">
        <v>2232</v>
      </c>
    </row>
    <row r="16" ht="24.75" customHeight="1">
      <c r="A16" s="129"/>
      <c r="B16" s="132"/>
      <c r="C16" s="106"/>
      <c r="D16" s="106"/>
      <c r="E16" s="127"/>
      <c r="F16" s="128"/>
      <c r="G16" s="128"/>
      <c r="H16" s="129"/>
      <c r="I16" s="104"/>
      <c r="J16" s="420"/>
      <c r="K16" s="421"/>
      <c r="L16" s="130"/>
      <c r="O16" s="17" t="s">
        <v>2184</v>
      </c>
    </row>
    <row r="17" ht="24.75" customHeight="1">
      <c r="A17" s="129"/>
      <c r="B17" s="131"/>
      <c r="C17" s="106"/>
      <c r="D17" s="106"/>
      <c r="E17" s="127"/>
      <c r="F17" s="128"/>
      <c r="G17" s="128"/>
      <c r="H17" s="129"/>
      <c r="I17" s="104"/>
      <c r="J17" s="420"/>
      <c r="K17" s="421"/>
      <c r="L17" s="130"/>
      <c r="O17" s="17" t="s">
        <v>2233</v>
      </c>
    </row>
    <row r="18" ht="24.75" customHeight="1">
      <c r="A18" s="129"/>
      <c r="B18" s="132"/>
      <c r="C18" s="106"/>
      <c r="D18" s="106"/>
      <c r="E18" s="127"/>
      <c r="F18" s="128"/>
      <c r="G18" s="128"/>
      <c r="H18" s="129"/>
      <c r="I18" s="104"/>
      <c r="J18" s="420"/>
      <c r="K18" s="421"/>
      <c r="L18" s="130"/>
      <c r="O18" s="17" t="s">
        <v>2234</v>
      </c>
    </row>
    <row r="19" ht="24.75" customHeight="1">
      <c r="A19" s="129"/>
      <c r="B19" s="131"/>
      <c r="C19" s="106"/>
      <c r="D19" s="106"/>
      <c r="E19" s="127"/>
      <c r="F19" s="128"/>
      <c r="G19" s="128"/>
      <c r="H19" s="129"/>
      <c r="I19" s="104"/>
      <c r="J19" s="420"/>
      <c r="K19" s="421"/>
      <c r="L19" s="130"/>
      <c r="O19" s="17" t="s">
        <v>2235</v>
      </c>
    </row>
    <row r="20" ht="24.75" customHeight="1">
      <c r="A20" s="129"/>
      <c r="B20" s="132"/>
      <c r="C20" s="106"/>
      <c r="D20" s="106"/>
      <c r="E20" s="127"/>
      <c r="F20" s="128"/>
      <c r="G20" s="128"/>
      <c r="H20" s="129"/>
      <c r="I20" s="104"/>
      <c r="J20" s="420"/>
      <c r="K20" s="421"/>
      <c r="L20" s="130"/>
      <c r="O20" s="17" t="s">
        <v>2236</v>
      </c>
    </row>
    <row r="21" ht="24.75" customHeight="1">
      <c r="A21" s="129"/>
      <c r="B21" s="131"/>
      <c r="C21" s="106"/>
      <c r="D21" s="106"/>
      <c r="E21" s="127"/>
      <c r="F21" s="128"/>
      <c r="G21" s="128"/>
      <c r="H21" s="129"/>
      <c r="I21" s="104"/>
      <c r="J21" s="420"/>
      <c r="K21" s="421"/>
      <c r="L21" s="130"/>
      <c r="O21" s="17" t="s">
        <v>2237</v>
      </c>
    </row>
    <row r="22" ht="24.75" customHeight="1">
      <c r="A22" s="129"/>
      <c r="B22" s="113"/>
      <c r="C22" s="106"/>
      <c r="D22" s="106"/>
      <c r="E22" s="127"/>
      <c r="F22" s="128"/>
      <c r="G22" s="128"/>
      <c r="H22" s="129"/>
      <c r="I22" s="104"/>
      <c r="J22" s="420"/>
      <c r="K22" s="421"/>
      <c r="L22" s="130"/>
      <c r="O22" s="17" t="s">
        <v>2238</v>
      </c>
    </row>
    <row r="23" ht="24.75" customHeight="1">
      <c r="A23" s="129"/>
      <c r="B23" s="132"/>
      <c r="C23" s="106"/>
      <c r="D23" s="106"/>
      <c r="E23" s="127"/>
      <c r="F23" s="128"/>
      <c r="G23" s="128"/>
      <c r="H23" s="129"/>
      <c r="I23" s="104"/>
      <c r="J23" s="420"/>
      <c r="K23" s="421"/>
      <c r="L23" s="130"/>
      <c r="O23" s="17" t="s">
        <v>2239</v>
      </c>
    </row>
    <row r="24" ht="24.75" customHeight="1">
      <c r="A24" s="129"/>
      <c r="B24" s="131"/>
      <c r="C24" s="106"/>
      <c r="D24" s="106"/>
      <c r="E24" s="127"/>
      <c r="F24" s="128"/>
      <c r="G24" s="128"/>
      <c r="H24" s="129"/>
      <c r="I24" s="104"/>
      <c r="J24" s="420"/>
      <c r="K24" s="421"/>
      <c r="L24" s="130"/>
      <c r="O24" s="17" t="s">
        <v>2240</v>
      </c>
    </row>
    <row r="25" ht="24.75" customHeight="1">
      <c r="A25" s="129"/>
      <c r="B25" s="132"/>
      <c r="C25" s="106"/>
      <c r="D25" s="106"/>
      <c r="E25" s="127"/>
      <c r="F25" s="128"/>
      <c r="G25" s="128"/>
      <c r="H25" s="129"/>
      <c r="I25" s="104"/>
      <c r="J25" s="420"/>
      <c r="K25" s="421"/>
      <c r="L25" s="130"/>
      <c r="O25" s="17" t="s">
        <v>2241</v>
      </c>
    </row>
    <row r="26" ht="24.75" customHeight="1">
      <c r="A26" s="129"/>
      <c r="B26" s="113"/>
      <c r="C26" s="106"/>
      <c r="D26" s="106"/>
      <c r="E26" s="127"/>
      <c r="F26" s="128"/>
      <c r="G26" s="128"/>
      <c r="H26" s="129"/>
      <c r="I26" s="104"/>
      <c r="J26" s="129"/>
      <c r="K26" s="896"/>
      <c r="L26" s="130"/>
      <c r="O26" s="17" t="s">
        <v>2242</v>
      </c>
    </row>
    <row r="27" ht="24.75" customHeight="1">
      <c r="A27" s="129"/>
      <c r="B27" s="113"/>
      <c r="C27" s="106"/>
      <c r="D27" s="106"/>
      <c r="E27" s="127"/>
      <c r="F27" s="128"/>
      <c r="G27" s="128"/>
      <c r="H27" s="129"/>
      <c r="I27" s="104"/>
      <c r="J27" s="129"/>
      <c r="K27" s="896"/>
      <c r="L27" s="130"/>
      <c r="O27" s="17" t="s">
        <v>2243</v>
      </c>
    </row>
    <row r="28" ht="24.75" customHeight="1">
      <c r="A28" s="129"/>
      <c r="B28" s="113"/>
      <c r="C28" s="106"/>
      <c r="D28" s="106"/>
      <c r="E28" s="127"/>
      <c r="F28" s="128"/>
      <c r="G28" s="128"/>
      <c r="H28" s="129"/>
      <c r="I28" s="104"/>
      <c r="J28" s="129"/>
      <c r="K28" s="896"/>
      <c r="L28" s="130"/>
      <c r="O28" s="17" t="s">
        <v>2244</v>
      </c>
    </row>
    <row r="29" ht="24.75" customHeight="1">
      <c r="A29" s="129"/>
      <c r="B29" s="113"/>
      <c r="C29" s="106"/>
      <c r="D29" s="106"/>
      <c r="E29" s="127"/>
      <c r="F29" s="128"/>
      <c r="G29" s="128"/>
      <c r="H29" s="129"/>
      <c r="I29" s="104"/>
      <c r="J29" s="129"/>
      <c r="K29" s="896"/>
      <c r="L29" s="130"/>
      <c r="O29" s="17" t="s">
        <v>2245</v>
      </c>
    </row>
    <row r="30" ht="24.75" customHeight="1">
      <c r="A30" s="129"/>
      <c r="B30" s="113"/>
      <c r="C30" s="106"/>
      <c r="D30" s="106"/>
      <c r="E30" s="127"/>
      <c r="F30" s="128"/>
      <c r="G30" s="128"/>
      <c r="H30" s="129"/>
      <c r="I30" s="104"/>
      <c r="J30" s="129"/>
      <c r="K30" s="896"/>
      <c r="L30" s="130"/>
      <c r="O30" s="17" t="s">
        <v>2168</v>
      </c>
    </row>
    <row r="31" ht="24.75" customHeight="1">
      <c r="A31" s="129"/>
      <c r="B31" s="131"/>
      <c r="C31" s="106"/>
      <c r="D31" s="106"/>
      <c r="E31" s="127"/>
      <c r="F31" s="128"/>
      <c r="G31" s="128"/>
      <c r="H31" s="129"/>
      <c r="I31" s="104"/>
      <c r="J31" s="420"/>
      <c r="K31" s="421"/>
      <c r="L31" s="130"/>
      <c r="O31" s="17" t="s">
        <v>2246</v>
      </c>
    </row>
    <row r="32" ht="24.75" customHeight="1">
      <c r="A32" s="129"/>
      <c r="B32" s="132"/>
      <c r="C32" s="106"/>
      <c r="D32" s="106"/>
      <c r="E32" s="127"/>
      <c r="F32" s="128"/>
      <c r="G32" s="128"/>
      <c r="H32" s="129"/>
      <c r="I32" s="104"/>
      <c r="J32" s="420"/>
      <c r="K32" s="421"/>
      <c r="L32" s="130"/>
      <c r="O32" s="17" t="s">
        <v>2247</v>
      </c>
    </row>
    <row r="33" ht="24.75" customHeight="1">
      <c r="A33" s="129"/>
      <c r="B33" s="131"/>
      <c r="C33" s="106"/>
      <c r="D33" s="106"/>
      <c r="E33" s="127"/>
      <c r="F33" s="128"/>
      <c r="G33" s="128"/>
      <c r="H33" s="129"/>
      <c r="I33" s="104"/>
      <c r="J33" s="420"/>
      <c r="K33" s="421"/>
      <c r="L33" s="130"/>
      <c r="O33" s="17" t="s">
        <v>2248</v>
      </c>
    </row>
    <row r="34" ht="24.75" customHeight="1">
      <c r="A34" s="129"/>
      <c r="B34" s="132"/>
      <c r="C34" s="106"/>
      <c r="D34" s="106"/>
      <c r="E34" s="127"/>
      <c r="F34" s="128"/>
      <c r="G34" s="128"/>
      <c r="H34" s="129"/>
      <c r="I34" s="104"/>
      <c r="J34" s="420"/>
      <c r="K34" s="421"/>
      <c r="L34" s="130"/>
      <c r="O34" s="17" t="s">
        <v>2249</v>
      </c>
    </row>
    <row r="35" ht="24.75" customHeight="1">
      <c r="A35" s="129"/>
      <c r="B35" s="131"/>
      <c r="C35" s="106"/>
      <c r="D35" s="106"/>
      <c r="E35" s="127"/>
      <c r="F35" s="128"/>
      <c r="G35" s="128"/>
      <c r="H35" s="129"/>
      <c r="I35" s="104"/>
      <c r="J35" s="420"/>
      <c r="K35" s="421"/>
      <c r="L35" s="130"/>
      <c r="O35" s="17" t="s">
        <v>2250</v>
      </c>
    </row>
    <row r="36" ht="24.75" customHeight="1">
      <c r="A36" s="129"/>
      <c r="B36" s="132"/>
      <c r="C36" s="106"/>
      <c r="D36" s="106"/>
      <c r="E36" s="127"/>
      <c r="F36" s="128"/>
      <c r="G36" s="128"/>
      <c r="H36" s="129"/>
      <c r="I36" s="104"/>
      <c r="J36" s="420"/>
      <c r="K36" s="421"/>
      <c r="L36" s="130"/>
      <c r="O36" s="17" t="s">
        <v>2218</v>
      </c>
    </row>
    <row r="37" ht="24.75" customHeight="1">
      <c r="A37" s="129"/>
      <c r="B37" s="131"/>
      <c r="C37" s="106"/>
      <c r="D37" s="106"/>
      <c r="E37" s="127"/>
      <c r="F37" s="128"/>
      <c r="G37" s="128"/>
      <c r="H37" s="129"/>
      <c r="I37" s="104"/>
      <c r="J37" s="420"/>
      <c r="K37" s="421"/>
      <c r="L37" s="130"/>
      <c r="O37" s="17" t="s">
        <v>2198</v>
      </c>
    </row>
    <row r="38" ht="24.75" customHeight="1">
      <c r="A38" s="129"/>
      <c r="B38" s="113"/>
      <c r="C38" s="106"/>
      <c r="D38" s="106"/>
      <c r="E38" s="127"/>
      <c r="F38" s="128"/>
      <c r="G38" s="128"/>
      <c r="H38" s="129"/>
      <c r="I38" s="104"/>
      <c r="J38" s="420"/>
      <c r="K38" s="421"/>
      <c r="L38" s="130"/>
      <c r="O38" s="17" t="s">
        <v>2251</v>
      </c>
    </row>
    <row r="39" ht="24.75" customHeight="1">
      <c r="A39" s="129"/>
      <c r="B39" s="132"/>
      <c r="C39" s="106"/>
      <c r="D39" s="106"/>
      <c r="E39" s="127"/>
      <c r="F39" s="128"/>
      <c r="G39" s="128"/>
      <c r="H39" s="129"/>
      <c r="I39" s="104"/>
      <c r="J39" s="420"/>
      <c r="K39" s="421"/>
      <c r="L39" s="130"/>
      <c r="O39" s="17" t="s">
        <v>2252</v>
      </c>
    </row>
    <row r="40" ht="24.75" customHeight="1">
      <c r="A40" s="129"/>
      <c r="B40" s="131"/>
      <c r="C40" s="106"/>
      <c r="D40" s="106"/>
      <c r="E40" s="127"/>
      <c r="F40" s="128"/>
      <c r="G40" s="128"/>
      <c r="H40" s="129"/>
      <c r="I40" s="104"/>
      <c r="J40" s="420"/>
      <c r="K40" s="421"/>
      <c r="L40" s="130"/>
      <c r="O40" s="17" t="s">
        <v>2253</v>
      </c>
    </row>
    <row r="41" ht="24.75" customHeight="1">
      <c r="A41" s="129"/>
      <c r="B41" s="132"/>
      <c r="C41" s="106"/>
      <c r="D41" s="106"/>
      <c r="E41" s="127"/>
      <c r="F41" s="128"/>
      <c r="G41" s="128"/>
      <c r="H41" s="129"/>
      <c r="I41" s="104"/>
      <c r="J41" s="420"/>
      <c r="K41" s="421"/>
      <c r="L41" s="130"/>
      <c r="O41" s="17" t="s">
        <v>2254</v>
      </c>
    </row>
    <row r="42" ht="24.75" customHeight="1">
      <c r="A42" s="129"/>
      <c r="B42" s="113"/>
      <c r="C42" s="106"/>
      <c r="D42" s="106"/>
      <c r="E42" s="127"/>
      <c r="F42" s="128"/>
      <c r="G42" s="128"/>
      <c r="H42" s="129"/>
      <c r="I42" s="104"/>
      <c r="J42" s="129"/>
      <c r="K42" s="896"/>
      <c r="L42" s="130"/>
      <c r="O42" s="17" t="s">
        <v>2255</v>
      </c>
    </row>
    <row r="43" ht="24.75" customHeight="1">
      <c r="A43" s="129"/>
      <c r="B43" s="113"/>
      <c r="C43" s="106"/>
      <c r="D43" s="106"/>
      <c r="E43" s="127"/>
      <c r="F43" s="128"/>
      <c r="G43" s="128"/>
      <c r="H43" s="129"/>
      <c r="I43" s="104"/>
      <c r="J43" s="129"/>
      <c r="K43" s="896"/>
      <c r="L43" s="130"/>
      <c r="O43" s="17" t="s">
        <v>2256</v>
      </c>
    </row>
    <row r="44" ht="24.75" customHeight="1">
      <c r="A44" s="129"/>
      <c r="B44" s="113"/>
      <c r="C44" s="106"/>
      <c r="D44" s="106"/>
      <c r="E44" s="127"/>
      <c r="F44" s="128"/>
      <c r="G44" s="128"/>
      <c r="H44" s="129"/>
      <c r="I44" s="104"/>
      <c r="J44" s="129"/>
      <c r="K44" s="896"/>
      <c r="L44" s="130"/>
      <c r="O44" s="17" t="s">
        <v>2227</v>
      </c>
    </row>
    <row r="45" ht="24.75" customHeight="1">
      <c r="A45" s="129"/>
      <c r="B45" s="113"/>
      <c r="C45" s="106"/>
      <c r="D45" s="106"/>
      <c r="E45" s="127"/>
      <c r="F45" s="128"/>
      <c r="G45" s="128"/>
      <c r="H45" s="129"/>
      <c r="I45" s="104"/>
      <c r="J45" s="129"/>
      <c r="K45" s="896"/>
      <c r="L45" s="130"/>
      <c r="O45" s="17" t="s">
        <v>2229</v>
      </c>
    </row>
    <row r="46" ht="24.75" customHeight="1">
      <c r="A46" s="129"/>
      <c r="B46" s="113"/>
      <c r="C46" s="106"/>
      <c r="D46" s="106"/>
      <c r="E46" s="127"/>
      <c r="F46" s="128"/>
      <c r="G46" s="128"/>
      <c r="H46" s="129"/>
      <c r="I46" s="104"/>
      <c r="J46" s="129"/>
      <c r="K46" s="896"/>
      <c r="L46" s="130"/>
      <c r="O46" s="17" t="s">
        <v>2179</v>
      </c>
    </row>
    <row r="47" ht="24.75" customHeight="1">
      <c r="A47" s="129"/>
      <c r="B47" s="113"/>
      <c r="C47" s="106"/>
      <c r="D47" s="106"/>
      <c r="E47" s="127"/>
      <c r="F47" s="128"/>
      <c r="G47" s="128"/>
      <c r="H47" s="129"/>
      <c r="I47" s="104"/>
      <c r="J47" s="129"/>
      <c r="K47" s="896"/>
      <c r="L47" s="130"/>
      <c r="O47" s="17" t="s">
        <v>2232</v>
      </c>
    </row>
    <row r="48" ht="24.75" customHeight="1">
      <c r="A48" s="129"/>
      <c r="B48" s="113"/>
      <c r="C48" s="106"/>
      <c r="D48" s="106"/>
      <c r="E48" s="127"/>
      <c r="F48" s="106"/>
      <c r="G48" s="128"/>
      <c r="H48" s="129"/>
      <c r="I48" s="104"/>
      <c r="J48" s="129"/>
      <c r="K48" s="896"/>
      <c r="L48" s="130"/>
      <c r="O48" s="17" t="s">
        <v>2184</v>
      </c>
    </row>
    <row r="49" ht="24.75" customHeight="1">
      <c r="A49" s="129"/>
      <c r="B49" s="113"/>
      <c r="C49" s="106"/>
      <c r="D49" s="106"/>
      <c r="E49" s="127"/>
      <c r="F49" s="106"/>
      <c r="G49" s="128"/>
      <c r="H49" s="129"/>
      <c r="I49" s="104"/>
      <c r="J49" s="129"/>
      <c r="K49" s="896"/>
      <c r="L49" s="130"/>
      <c r="O49" s="17" t="s">
        <v>2233</v>
      </c>
    </row>
    <row r="50" ht="24.75" customHeight="1">
      <c r="A50" s="129"/>
      <c r="B50" s="113"/>
      <c r="C50" s="106"/>
      <c r="D50" s="106"/>
      <c r="E50" s="127"/>
      <c r="F50" s="106"/>
      <c r="G50" s="128"/>
      <c r="H50" s="129"/>
      <c r="I50" s="104"/>
      <c r="J50" s="129"/>
      <c r="K50" s="896"/>
      <c r="L50" s="130"/>
      <c r="O50" s="17" t="s">
        <v>2234</v>
      </c>
    </row>
    <row r="51" ht="24.75" customHeight="1">
      <c r="A51" s="129"/>
      <c r="B51" s="111"/>
      <c r="C51" s="106"/>
      <c r="D51" s="106"/>
      <c r="E51" s="133"/>
      <c r="F51" s="111"/>
      <c r="G51" s="134"/>
      <c r="H51" s="129"/>
      <c r="I51" s="104"/>
      <c r="J51" s="135"/>
      <c r="K51" s="136"/>
      <c r="L51" s="137"/>
      <c r="O51" s="17" t="s">
        <v>2235</v>
      </c>
    </row>
    <row r="52" ht="24.75" customHeight="1">
      <c r="A52" s="129"/>
      <c r="B52" s="113"/>
      <c r="C52" s="106"/>
      <c r="D52" s="106"/>
      <c r="E52" s="127"/>
      <c r="F52" s="113"/>
      <c r="G52" s="128"/>
      <c r="H52" s="129"/>
      <c r="I52" s="104"/>
      <c r="J52" s="129"/>
      <c r="K52" s="896"/>
      <c r="L52" s="130"/>
      <c r="O52" s="17" t="s">
        <v>2236</v>
      </c>
    </row>
    <row r="53" ht="24.75" customHeight="1">
      <c r="A53" s="129"/>
      <c r="B53" s="113"/>
      <c r="C53" s="106"/>
      <c r="D53" s="106"/>
      <c r="E53" s="127"/>
      <c r="F53" s="113"/>
      <c r="G53" s="128"/>
      <c r="H53" s="129"/>
      <c r="I53" s="104"/>
      <c r="J53" s="129"/>
      <c r="K53" s="896"/>
      <c r="L53" s="130"/>
      <c r="O53" s="17" t="s">
        <v>2257</v>
      </c>
    </row>
    <row r="54" ht="24.75" customHeight="1">
      <c r="A54" s="129"/>
      <c r="B54" s="113"/>
      <c r="C54" s="106"/>
      <c r="D54" s="106"/>
      <c r="E54" s="127"/>
      <c r="F54" s="113"/>
      <c r="G54" s="128"/>
      <c r="H54" s="129"/>
      <c r="I54" s="104"/>
      <c r="J54" s="129"/>
      <c r="K54" s="896"/>
      <c r="L54" s="130"/>
      <c r="O54" s="17" t="s">
        <v>2258</v>
      </c>
    </row>
    <row r="55" ht="24.75" customHeight="1">
      <c r="A55" s="129"/>
      <c r="B55" s="113"/>
      <c r="C55" s="106"/>
      <c r="D55" s="106"/>
      <c r="E55" s="127"/>
      <c r="F55" s="113"/>
      <c r="G55" s="128"/>
      <c r="H55" s="129"/>
      <c r="I55" s="104"/>
      <c r="J55" s="129"/>
      <c r="K55" s="896"/>
      <c r="L55" s="130"/>
      <c r="O55" s="17" t="s">
        <v>2259</v>
      </c>
    </row>
    <row r="56" ht="24.75" customHeight="1">
      <c r="A56" s="129"/>
      <c r="B56" s="113"/>
      <c r="C56" s="106"/>
      <c r="D56" s="106"/>
      <c r="E56" s="127"/>
      <c r="F56" s="113"/>
      <c r="G56" s="128"/>
      <c r="H56" s="129"/>
      <c r="I56" s="104"/>
      <c r="J56" s="129"/>
      <c r="K56" s="896"/>
      <c r="L56" s="130"/>
      <c r="O56" s="17" t="s">
        <v>2241</v>
      </c>
    </row>
    <row r="57" ht="24.75" customHeight="1">
      <c r="A57" s="129"/>
      <c r="B57" s="113"/>
      <c r="C57" s="106"/>
      <c r="D57" s="106"/>
      <c r="E57" s="127"/>
      <c r="F57" s="113"/>
      <c r="G57" s="128"/>
      <c r="H57" s="129"/>
      <c r="I57" s="104"/>
      <c r="J57" s="129"/>
      <c r="K57" s="896"/>
      <c r="L57" s="130"/>
      <c r="O57" s="17" t="s">
        <v>2242</v>
      </c>
    </row>
    <row r="58" ht="24.75" customHeight="1">
      <c r="A58" s="129"/>
      <c r="B58" s="113"/>
      <c r="C58" s="106"/>
      <c r="D58" s="106"/>
      <c r="E58" s="127"/>
      <c r="F58" s="113"/>
      <c r="G58" s="128"/>
      <c r="H58" s="129"/>
      <c r="I58" s="104"/>
      <c r="J58" s="129"/>
      <c r="K58" s="896"/>
      <c r="L58" s="130"/>
      <c r="O58" s="17" t="s">
        <v>2243</v>
      </c>
    </row>
    <row r="59" ht="24.75" customHeight="1">
      <c r="A59" s="129"/>
      <c r="B59" s="113"/>
      <c r="C59" s="106"/>
      <c r="D59" s="106"/>
      <c r="E59" s="127"/>
      <c r="F59" s="113"/>
      <c r="G59" s="128"/>
      <c r="H59" s="129"/>
      <c r="I59" s="104"/>
      <c r="J59" s="129"/>
      <c r="K59" s="896"/>
      <c r="L59" s="130"/>
      <c r="O59" s="17" t="s">
        <v>2244</v>
      </c>
    </row>
    <row r="60" ht="24.75" customHeight="1">
      <c r="A60" s="129"/>
      <c r="B60" s="113"/>
      <c r="C60" s="106"/>
      <c r="D60" s="106"/>
      <c r="E60" s="127"/>
      <c r="F60" s="113"/>
      <c r="G60" s="128"/>
      <c r="H60" s="129"/>
      <c r="I60" s="104"/>
      <c r="J60" s="129"/>
      <c r="K60" s="896"/>
      <c r="L60" s="130"/>
      <c r="O60" s="17" t="s">
        <v>2260</v>
      </c>
    </row>
    <row r="61" ht="24.75" customHeight="1">
      <c r="A61" s="129"/>
      <c r="B61" s="113"/>
      <c r="C61" s="106"/>
      <c r="D61" s="106"/>
      <c r="E61" s="127"/>
      <c r="F61" s="113"/>
      <c r="G61" s="128"/>
      <c r="H61" s="129"/>
      <c r="I61" s="104"/>
      <c r="J61" s="129"/>
      <c r="K61" s="896"/>
      <c r="L61" s="130"/>
      <c r="O61" s="17" t="s">
        <v>2261</v>
      </c>
    </row>
    <row r="62" ht="24.75" customHeight="1">
      <c r="A62" s="129"/>
      <c r="B62" s="113"/>
      <c r="C62" s="106"/>
      <c r="D62" s="106"/>
      <c r="E62" s="127"/>
      <c r="F62" s="113"/>
      <c r="G62" s="128"/>
      <c r="H62" s="129"/>
      <c r="I62" s="104"/>
      <c r="J62" s="129"/>
      <c r="K62" s="896"/>
      <c r="L62" s="130"/>
      <c r="O62" s="17" t="s">
        <v>2262</v>
      </c>
    </row>
    <row r="63" ht="24.75" customHeight="1">
      <c r="A63" s="129"/>
      <c r="B63" s="113"/>
      <c r="C63" s="106"/>
      <c r="D63" s="106"/>
      <c r="E63" s="127"/>
      <c r="F63" s="113"/>
      <c r="G63" s="128"/>
      <c r="H63" s="129"/>
      <c r="I63" s="104"/>
      <c r="J63" s="129"/>
      <c r="K63" s="896"/>
      <c r="L63" s="130"/>
      <c r="O63" s="17" t="s">
        <v>2263</v>
      </c>
    </row>
    <row r="64" ht="24.75" customHeight="1">
      <c r="A64" s="129"/>
      <c r="B64" s="113"/>
      <c r="C64" s="106"/>
      <c r="D64" s="106"/>
      <c r="E64" s="127"/>
      <c r="F64" s="113"/>
      <c r="G64" s="128"/>
      <c r="H64" s="129"/>
      <c r="I64" s="104"/>
      <c r="J64" s="129"/>
      <c r="K64" s="896"/>
      <c r="L64" s="130"/>
      <c r="O64" s="17" t="s">
        <v>2264</v>
      </c>
    </row>
    <row r="65" ht="24.75" customHeight="1">
      <c r="A65" s="129"/>
      <c r="B65" s="113"/>
      <c r="C65" s="106"/>
      <c r="D65" s="106"/>
      <c r="E65" s="127"/>
      <c r="F65" s="113"/>
      <c r="G65" s="128"/>
      <c r="H65" s="129"/>
      <c r="I65" s="104"/>
      <c r="J65" s="129"/>
      <c r="K65" s="896"/>
      <c r="L65" s="130"/>
      <c r="O65" s="17" t="s">
        <v>2265</v>
      </c>
    </row>
    <row r="66" ht="24.75" customHeight="1">
      <c r="A66" s="129"/>
      <c r="B66" s="113"/>
      <c r="C66" s="106"/>
      <c r="D66" s="106"/>
      <c r="E66" s="127"/>
      <c r="F66" s="113"/>
      <c r="G66" s="128"/>
      <c r="H66" s="129"/>
      <c r="I66" s="104"/>
      <c r="J66" s="129"/>
      <c r="K66" s="896"/>
      <c r="L66" s="130"/>
      <c r="O66" s="17" t="s">
        <v>2247</v>
      </c>
    </row>
    <row r="67" ht="24.75" customHeight="1">
      <c r="A67" s="129"/>
      <c r="B67" s="113"/>
      <c r="C67" s="106"/>
      <c r="D67" s="106"/>
      <c r="E67" s="127"/>
      <c r="F67" s="113"/>
      <c r="G67" s="128"/>
      <c r="H67" s="129"/>
      <c r="I67" s="104"/>
      <c r="J67" s="129"/>
      <c r="K67" s="896"/>
      <c r="L67" s="130"/>
      <c r="O67" s="17" t="s">
        <v>2194</v>
      </c>
    </row>
    <row r="68" ht="24.75" customHeight="1">
      <c r="A68" s="129"/>
      <c r="B68" s="113"/>
      <c r="C68" s="106"/>
      <c r="D68" s="106"/>
      <c r="E68" s="127"/>
      <c r="F68" s="113"/>
      <c r="G68" s="128"/>
      <c r="H68" s="129"/>
      <c r="I68" s="104"/>
      <c r="J68" s="129"/>
      <c r="K68" s="896"/>
      <c r="L68" s="130"/>
      <c r="O68" s="17" t="s">
        <v>2198</v>
      </c>
    </row>
    <row r="69" ht="24.75" customHeight="1">
      <c r="A69" s="129"/>
      <c r="B69" s="113"/>
      <c r="C69" s="106"/>
      <c r="D69" s="106"/>
      <c r="E69" s="127"/>
      <c r="F69" s="113"/>
      <c r="G69" s="128"/>
      <c r="H69" s="129"/>
      <c r="I69" s="104"/>
      <c r="J69" s="129"/>
      <c r="K69" s="896"/>
      <c r="L69" s="130"/>
      <c r="O69" s="17" t="s">
        <v>2253</v>
      </c>
    </row>
    <row r="70" ht="24.75" customHeight="1">
      <c r="A70" s="129"/>
      <c r="B70" s="113"/>
      <c r="C70" s="106"/>
      <c r="D70" s="106"/>
      <c r="E70" s="127"/>
      <c r="F70" s="113"/>
      <c r="G70" s="128"/>
      <c r="H70" s="129"/>
      <c r="I70" s="104"/>
      <c r="J70" s="129"/>
      <c r="K70" s="896"/>
      <c r="L70" s="130"/>
      <c r="O70" s="17" t="s">
        <v>2254</v>
      </c>
    </row>
    <row r="71" ht="24.75" customHeight="1">
      <c r="A71" s="129"/>
      <c r="B71" s="113"/>
      <c r="C71" s="106"/>
      <c r="D71" s="106"/>
      <c r="E71" s="127"/>
      <c r="F71" s="113"/>
      <c r="G71" s="128"/>
      <c r="H71" s="129"/>
      <c r="I71" s="104"/>
      <c r="J71" s="129"/>
      <c r="K71" s="896"/>
      <c r="L71" s="130"/>
      <c r="O71" s="17" t="s">
        <v>2255</v>
      </c>
    </row>
    <row r="72" ht="24.75" customHeight="1">
      <c r="A72" s="129"/>
      <c r="B72" s="113"/>
      <c r="C72" s="106"/>
      <c r="D72" s="106"/>
      <c r="E72" s="127"/>
      <c r="F72" s="113"/>
      <c r="G72" s="128"/>
      <c r="H72" s="129"/>
      <c r="I72" s="104"/>
      <c r="J72" s="129"/>
      <c r="K72" s="896"/>
      <c r="L72" s="130"/>
      <c r="O72" s="17" t="s">
        <v>2256</v>
      </c>
    </row>
    <row r="73" ht="24.75" customHeight="1">
      <c r="A73" s="129"/>
      <c r="B73" s="113"/>
      <c r="C73" s="106"/>
      <c r="D73" s="106"/>
      <c r="E73" s="127"/>
      <c r="F73" s="113"/>
      <c r="G73" s="128"/>
      <c r="H73" s="129"/>
      <c r="I73" s="104"/>
      <c r="J73" s="129"/>
      <c r="K73" s="896"/>
      <c r="L73" s="130"/>
      <c r="O73" s="17" t="s">
        <v>2227</v>
      </c>
    </row>
    <row r="74" ht="24.75" customHeight="1">
      <c r="A74" s="129"/>
      <c r="B74" s="113"/>
      <c r="C74" s="106"/>
      <c r="D74" s="106"/>
      <c r="E74" s="127"/>
      <c r="F74" s="113"/>
      <c r="G74" s="128"/>
      <c r="H74" s="129"/>
      <c r="I74" s="104"/>
      <c r="J74" s="129"/>
      <c r="K74" s="896"/>
      <c r="L74" s="130"/>
      <c r="O74" s="17" t="s">
        <v>2229</v>
      </c>
    </row>
    <row r="75" ht="24.75" customHeight="1">
      <c r="A75" s="129"/>
      <c r="B75" s="113"/>
      <c r="C75" s="106"/>
      <c r="D75" s="106"/>
      <c r="E75" s="127"/>
      <c r="F75" s="113"/>
      <c r="G75" s="128"/>
      <c r="H75" s="129"/>
      <c r="I75" s="104"/>
      <c r="J75" s="129"/>
      <c r="K75" s="896"/>
      <c r="L75" s="130"/>
      <c r="O75" s="17" t="s">
        <v>2179</v>
      </c>
    </row>
    <row r="76" ht="24.75" customHeight="1">
      <c r="A76" s="129"/>
      <c r="B76" s="113"/>
      <c r="C76" s="106"/>
      <c r="D76" s="106"/>
      <c r="E76" s="127"/>
      <c r="F76" s="113"/>
      <c r="G76" s="128"/>
      <c r="H76" s="129"/>
      <c r="I76" s="104"/>
      <c r="J76" s="129"/>
      <c r="K76" s="896"/>
      <c r="L76" s="130"/>
      <c r="O76" s="17" t="s">
        <v>2232</v>
      </c>
    </row>
    <row r="77" ht="24.75" customHeight="1">
      <c r="A77" s="129"/>
      <c r="B77" s="113"/>
      <c r="C77" s="106"/>
      <c r="D77" s="106"/>
      <c r="E77" s="127"/>
      <c r="F77" s="113"/>
      <c r="G77" s="128"/>
      <c r="H77" s="129"/>
      <c r="I77" s="104"/>
      <c r="J77" s="129"/>
      <c r="K77" s="896"/>
      <c r="L77" s="130"/>
      <c r="O77" s="17" t="s">
        <v>2184</v>
      </c>
    </row>
    <row r="78" ht="24.75" customHeight="1">
      <c r="A78" s="129"/>
      <c r="B78" s="113"/>
      <c r="C78" s="106"/>
      <c r="D78" s="106"/>
      <c r="E78" s="127"/>
      <c r="F78" s="113"/>
      <c r="G78" s="128"/>
      <c r="H78" s="129"/>
      <c r="I78" s="104"/>
      <c r="J78" s="129"/>
      <c r="K78" s="896"/>
      <c r="L78" s="130"/>
      <c r="O78" s="17" t="s">
        <v>2233</v>
      </c>
    </row>
    <row r="79" ht="24.75" customHeight="1">
      <c r="A79" s="129"/>
      <c r="B79" s="113"/>
      <c r="C79" s="106"/>
      <c r="D79" s="106"/>
      <c r="E79" s="127"/>
      <c r="F79" s="113"/>
      <c r="G79" s="128"/>
      <c r="H79" s="129"/>
      <c r="I79" s="104"/>
      <c r="J79" s="129"/>
      <c r="K79" s="896"/>
      <c r="L79" s="130"/>
      <c r="O79" s="17" t="s">
        <v>2234</v>
      </c>
    </row>
    <row r="80" ht="24.75" customHeight="1">
      <c r="A80" s="129"/>
      <c r="B80" s="113"/>
      <c r="C80" s="106"/>
      <c r="D80" s="106"/>
      <c r="E80" s="127"/>
      <c r="F80" s="113"/>
      <c r="G80" s="128"/>
      <c r="H80" s="129"/>
      <c r="I80" s="104"/>
      <c r="J80" s="129"/>
      <c r="K80" s="896"/>
      <c r="L80" s="130"/>
      <c r="O80" s="17" t="s">
        <v>2235</v>
      </c>
    </row>
    <row r="81" ht="24.75" customHeight="1">
      <c r="A81" s="129"/>
      <c r="B81" s="113"/>
      <c r="C81" s="106"/>
      <c r="D81" s="106"/>
      <c r="E81" s="127"/>
      <c r="F81" s="113"/>
      <c r="G81" s="128"/>
      <c r="H81" s="129"/>
      <c r="I81" s="104"/>
      <c r="J81" s="129"/>
      <c r="K81" s="896"/>
      <c r="L81" s="130"/>
      <c r="O81" s="17" t="s">
        <v>2236</v>
      </c>
    </row>
    <row r="82" ht="24.75" customHeight="1">
      <c r="A82" s="129"/>
      <c r="B82" s="113"/>
      <c r="C82" s="106"/>
      <c r="D82" s="106"/>
      <c r="E82" s="127"/>
      <c r="F82" s="113"/>
      <c r="G82" s="128"/>
      <c r="H82" s="129"/>
      <c r="I82" s="104"/>
      <c r="J82" s="129"/>
      <c r="K82" s="896"/>
      <c r="L82" s="130"/>
      <c r="O82" s="17" t="s">
        <v>2266</v>
      </c>
    </row>
    <row r="83" ht="24.75" customHeight="1">
      <c r="A83" s="129"/>
      <c r="B83" s="113"/>
      <c r="C83" s="106"/>
      <c r="D83" s="106"/>
      <c r="E83" s="127"/>
      <c r="F83" s="113"/>
      <c r="G83" s="128"/>
      <c r="H83" s="129"/>
      <c r="I83" s="104"/>
      <c r="J83" s="129"/>
      <c r="K83" s="896"/>
      <c r="L83" s="130"/>
      <c r="O83" s="17" t="s">
        <v>2267</v>
      </c>
    </row>
    <row r="84" ht="24.75" customHeight="1">
      <c r="A84" s="129"/>
      <c r="B84" s="113"/>
      <c r="C84" s="106"/>
      <c r="D84" s="106"/>
      <c r="E84" s="127"/>
      <c r="F84" s="113"/>
      <c r="G84" s="128"/>
      <c r="H84" s="129"/>
      <c r="I84" s="104"/>
      <c r="J84" s="129"/>
      <c r="K84" s="896"/>
      <c r="L84" s="130"/>
      <c r="O84" s="17" t="s">
        <v>2268</v>
      </c>
    </row>
    <row r="85" ht="24.75" customHeight="1">
      <c r="A85" s="129"/>
      <c r="B85" s="113"/>
      <c r="C85" s="106"/>
      <c r="D85" s="106"/>
      <c r="E85" s="127"/>
      <c r="F85" s="113"/>
      <c r="G85" s="128"/>
      <c r="H85" s="129"/>
      <c r="I85" s="104"/>
      <c r="J85" s="129"/>
      <c r="K85" s="896"/>
      <c r="L85" s="130"/>
      <c r="O85" s="17" t="s">
        <v>2269</v>
      </c>
    </row>
    <row r="86" ht="24.75" customHeight="1">
      <c r="A86" s="129"/>
      <c r="B86" s="113"/>
      <c r="C86" s="106"/>
      <c r="D86" s="106"/>
      <c r="E86" s="127"/>
      <c r="F86" s="113"/>
      <c r="G86" s="128"/>
      <c r="H86" s="129"/>
      <c r="I86" s="104"/>
      <c r="J86" s="129"/>
      <c r="K86" s="896"/>
      <c r="L86" s="130"/>
      <c r="O86" s="17" t="s">
        <v>2194</v>
      </c>
    </row>
    <row r="87" ht="24.75" customHeight="1">
      <c r="A87" s="129"/>
      <c r="B87" s="113"/>
      <c r="C87" s="106"/>
      <c r="D87" s="106"/>
      <c r="E87" s="127"/>
      <c r="F87" s="113"/>
      <c r="G87" s="128"/>
      <c r="H87" s="129"/>
      <c r="I87" s="104"/>
      <c r="J87" s="129"/>
      <c r="K87" s="896"/>
      <c r="L87" s="130"/>
      <c r="O87" s="17" t="s">
        <v>2198</v>
      </c>
    </row>
    <row r="88" ht="24.75" customHeight="1">
      <c r="A88" s="129"/>
      <c r="B88" s="113"/>
      <c r="C88" s="106"/>
      <c r="D88" s="106"/>
      <c r="E88" s="127"/>
      <c r="F88" s="113"/>
      <c r="G88" s="128"/>
      <c r="H88" s="129"/>
      <c r="I88" s="104"/>
      <c r="J88" s="129"/>
      <c r="K88" s="896"/>
      <c r="L88" s="130"/>
      <c r="O88" s="17" t="s">
        <v>2190</v>
      </c>
    </row>
    <row r="89" ht="24.75" customHeight="1">
      <c r="A89" s="129"/>
      <c r="B89" s="113"/>
      <c r="C89" s="106"/>
      <c r="D89" s="106"/>
      <c r="E89" s="127"/>
      <c r="F89" s="113"/>
      <c r="G89" s="128"/>
      <c r="H89" s="129"/>
      <c r="I89" s="104"/>
      <c r="J89" s="129"/>
      <c r="K89" s="896"/>
      <c r="L89" s="130"/>
      <c r="O89" s="17" t="s">
        <v>2175</v>
      </c>
    </row>
    <row r="90" ht="24.75" customHeight="1">
      <c r="A90" s="129"/>
      <c r="B90" s="113"/>
      <c r="C90" s="106"/>
      <c r="D90" s="106"/>
      <c r="E90" s="127"/>
      <c r="F90" s="113"/>
      <c r="G90" s="128"/>
      <c r="H90" s="129"/>
      <c r="I90" s="104"/>
      <c r="J90" s="129"/>
      <c r="K90" s="896"/>
      <c r="L90" s="130"/>
      <c r="O90" s="17" t="s">
        <v>2225</v>
      </c>
    </row>
    <row r="91" ht="24.75" customHeight="1">
      <c r="A91" s="129"/>
      <c r="B91" s="113"/>
      <c r="C91" s="106"/>
      <c r="D91" s="106"/>
      <c r="E91" s="127"/>
      <c r="F91" s="113"/>
      <c r="G91" s="128"/>
      <c r="H91" s="129"/>
      <c r="I91" s="104"/>
      <c r="J91" s="129"/>
      <c r="K91" s="896"/>
      <c r="L91" s="130"/>
      <c r="O91" s="17" t="s">
        <v>2227</v>
      </c>
    </row>
    <row r="92" ht="24.75" customHeight="1">
      <c r="A92" s="129"/>
      <c r="B92" s="113"/>
      <c r="C92" s="106"/>
      <c r="D92" s="106"/>
      <c r="E92" s="127"/>
      <c r="F92" s="113"/>
      <c r="G92" s="128"/>
      <c r="H92" s="129"/>
      <c r="I92" s="104"/>
      <c r="J92" s="129"/>
      <c r="K92" s="896"/>
      <c r="L92" s="130"/>
      <c r="O92" s="17" t="s">
        <v>2229</v>
      </c>
    </row>
    <row r="93" ht="24.75" customHeight="1">
      <c r="A93" s="129"/>
      <c r="B93" s="113"/>
      <c r="C93" s="106"/>
      <c r="D93" s="106"/>
      <c r="E93" s="127"/>
      <c r="F93" s="113"/>
      <c r="G93" s="128"/>
      <c r="H93" s="129"/>
      <c r="I93" s="104"/>
      <c r="J93" s="129"/>
      <c r="K93" s="896"/>
      <c r="L93" s="130"/>
      <c r="O93" s="17" t="s">
        <v>2179</v>
      </c>
    </row>
    <row r="94" ht="24.75" customHeight="1">
      <c r="A94" s="129"/>
      <c r="B94" s="113"/>
      <c r="C94" s="106"/>
      <c r="D94" s="106"/>
      <c r="E94" s="127"/>
      <c r="F94" s="113"/>
      <c r="G94" s="128"/>
      <c r="H94" s="129"/>
      <c r="I94" s="104"/>
      <c r="J94" s="129"/>
      <c r="K94" s="896"/>
      <c r="L94" s="130"/>
      <c r="O94" s="17" t="s">
        <v>2232</v>
      </c>
    </row>
    <row r="95" ht="24.75" customHeight="1">
      <c r="A95" s="129"/>
      <c r="B95" s="113"/>
      <c r="C95" s="106"/>
      <c r="D95" s="106"/>
      <c r="E95" s="127"/>
      <c r="F95" s="113"/>
      <c r="G95" s="128"/>
      <c r="H95" s="129"/>
      <c r="I95" s="104"/>
      <c r="J95" s="129"/>
      <c r="K95" s="896"/>
      <c r="L95" s="130"/>
      <c r="O95" s="17" t="s">
        <v>2184</v>
      </c>
    </row>
    <row r="96" ht="24.75" customHeight="1">
      <c r="A96" s="129"/>
      <c r="B96" s="113"/>
      <c r="C96" s="106"/>
      <c r="D96" s="106"/>
      <c r="E96" s="127"/>
      <c r="F96" s="113"/>
      <c r="G96" s="128"/>
      <c r="H96" s="129"/>
      <c r="I96" s="104"/>
      <c r="J96" s="129"/>
      <c r="K96" s="896"/>
      <c r="L96" s="130"/>
      <c r="O96" s="17" t="s">
        <v>2233</v>
      </c>
    </row>
    <row r="97" ht="24.75" customHeight="1">
      <c r="A97" s="129"/>
      <c r="B97" s="113"/>
      <c r="C97" s="106"/>
      <c r="D97" s="106"/>
      <c r="E97" s="127"/>
      <c r="F97" s="113"/>
      <c r="G97" s="128"/>
      <c r="H97" s="129"/>
      <c r="I97" s="104"/>
      <c r="J97" s="129"/>
      <c r="K97" s="896"/>
      <c r="L97" s="130"/>
      <c r="O97" s="17" t="s">
        <v>2234</v>
      </c>
    </row>
    <row r="98" ht="24.75" customHeight="1">
      <c r="A98" s="129"/>
      <c r="B98" s="113"/>
      <c r="C98" s="106"/>
      <c r="D98" s="106"/>
      <c r="E98" s="127"/>
      <c r="F98" s="113"/>
      <c r="G98" s="128"/>
      <c r="H98" s="129"/>
      <c r="I98" s="104"/>
      <c r="J98" s="129"/>
      <c r="K98" s="896"/>
      <c r="L98" s="130"/>
      <c r="O98" s="17" t="s">
        <v>2235</v>
      </c>
    </row>
    <row r="99" ht="24.75" customHeight="1">
      <c r="A99" s="129"/>
      <c r="B99" s="113"/>
      <c r="C99" s="106"/>
      <c r="D99" s="106"/>
      <c r="E99" s="127"/>
      <c r="F99" s="113"/>
      <c r="G99" s="128"/>
      <c r="H99" s="129"/>
      <c r="I99" s="104"/>
      <c r="J99" s="129"/>
      <c r="K99" s="896"/>
      <c r="L99" s="130"/>
      <c r="O99" s="17" t="s">
        <v>2236</v>
      </c>
    </row>
    <row r="100" ht="24.75" customHeight="1">
      <c r="A100" s="129"/>
      <c r="B100" s="113"/>
      <c r="C100" s="106"/>
      <c r="D100" s="106"/>
      <c r="E100" s="127"/>
      <c r="F100" s="113"/>
      <c r="G100" s="128"/>
      <c r="H100" s="129"/>
      <c r="I100" s="104"/>
      <c r="J100" s="129"/>
      <c r="K100" s="896"/>
      <c r="L100" s="130"/>
      <c r="O100" s="17" t="s">
        <v>2270</v>
      </c>
    </row>
    <row r="101" ht="24.75" customHeight="1">
      <c r="A101" s="129"/>
      <c r="B101" s="113"/>
      <c r="C101" s="106"/>
      <c r="D101" s="106"/>
      <c r="E101" s="127"/>
      <c r="F101" s="113"/>
      <c r="G101" s="128"/>
      <c r="H101" s="129"/>
      <c r="I101" s="104"/>
      <c r="J101" s="129"/>
      <c r="K101" s="896"/>
      <c r="L101" s="130"/>
      <c r="O101" s="17" t="s">
        <v>2271</v>
      </c>
    </row>
    <row r="102" ht="24.75" customHeight="1">
      <c r="A102" s="129"/>
      <c r="B102" s="113"/>
      <c r="C102" s="106"/>
      <c r="D102" s="106"/>
      <c r="E102" s="127"/>
      <c r="F102" s="113"/>
      <c r="G102" s="128"/>
      <c r="H102" s="129"/>
      <c r="I102" s="104"/>
      <c r="J102" s="129"/>
      <c r="K102" s="896"/>
      <c r="L102" s="130"/>
      <c r="O102" s="17" t="s">
        <v>2272</v>
      </c>
    </row>
    <row r="103" ht="24.75" customHeight="1">
      <c r="A103" s="129"/>
      <c r="B103" s="113"/>
      <c r="C103" s="106"/>
      <c r="D103" s="106"/>
      <c r="E103" s="127"/>
      <c r="F103" s="113"/>
      <c r="G103" s="128"/>
      <c r="H103" s="129"/>
      <c r="I103" s="104"/>
      <c r="J103" s="129"/>
      <c r="K103" s="896"/>
      <c r="L103" s="130"/>
      <c r="O103" s="17" t="s">
        <v>2273</v>
      </c>
    </row>
    <row r="104" ht="24.75" customHeight="1">
      <c r="A104" s="129"/>
      <c r="B104" s="113"/>
      <c r="C104" s="106"/>
      <c r="D104" s="106"/>
      <c r="E104" s="127"/>
      <c r="F104" s="113"/>
      <c r="G104" s="128"/>
      <c r="H104" s="129"/>
      <c r="I104" s="104"/>
      <c r="J104" s="129"/>
      <c r="K104" s="896"/>
      <c r="L104" s="130"/>
      <c r="O104" s="17" t="s">
        <v>2274</v>
      </c>
    </row>
    <row r="105" ht="24.75" customHeight="1">
      <c r="A105" s="129"/>
      <c r="B105" s="113"/>
      <c r="C105" s="106"/>
      <c r="D105" s="106"/>
      <c r="E105" s="127"/>
      <c r="F105" s="113"/>
      <c r="G105" s="128"/>
      <c r="H105" s="129"/>
      <c r="I105" s="104"/>
      <c r="J105" s="129"/>
      <c r="K105" s="896"/>
      <c r="L105" s="130"/>
      <c r="O105" s="17" t="s">
        <v>2275</v>
      </c>
    </row>
    <row r="106" ht="24.75" customHeight="1">
      <c r="A106" s="129"/>
      <c r="B106" s="113"/>
      <c r="C106" s="106"/>
      <c r="D106" s="106"/>
      <c r="E106" s="127"/>
      <c r="F106" s="113"/>
      <c r="G106" s="128"/>
      <c r="H106" s="129"/>
      <c r="I106" s="104"/>
      <c r="J106" s="129"/>
      <c r="K106" s="896"/>
      <c r="L106" s="130"/>
      <c r="O106" s="17" t="s">
        <v>2194</v>
      </c>
    </row>
    <row r="107" ht="24.75" customHeight="1">
      <c r="A107" s="129"/>
      <c r="B107" s="113"/>
      <c r="C107" s="106"/>
      <c r="D107" s="106"/>
      <c r="E107" s="127"/>
      <c r="F107" s="113"/>
      <c r="G107" s="128"/>
      <c r="H107" s="129"/>
      <c r="I107" s="104"/>
      <c r="J107" s="129"/>
      <c r="K107" s="896"/>
      <c r="L107" s="130"/>
      <c r="O107" s="17" t="s">
        <v>2276</v>
      </c>
    </row>
    <row r="108" ht="24.75" customHeight="1">
      <c r="A108" s="129"/>
      <c r="B108" s="113"/>
      <c r="C108" s="106"/>
      <c r="D108" s="106"/>
      <c r="E108" s="127"/>
      <c r="F108" s="113"/>
      <c r="G108" s="128"/>
      <c r="H108" s="129"/>
      <c r="I108" s="104"/>
      <c r="J108" s="129"/>
      <c r="K108" s="896"/>
      <c r="L108" s="130"/>
      <c r="O108" s="17" t="s">
        <v>2277</v>
      </c>
    </row>
    <row r="109" ht="24.75" customHeight="1">
      <c r="A109" s="129"/>
      <c r="B109" s="113"/>
      <c r="C109" s="106"/>
      <c r="D109" s="106"/>
      <c r="E109" s="127"/>
      <c r="F109" s="113"/>
      <c r="G109" s="128"/>
      <c r="H109" s="129"/>
      <c r="I109" s="104"/>
      <c r="J109" s="129"/>
      <c r="K109" s="896"/>
      <c r="L109" s="130"/>
      <c r="O109" s="17" t="s">
        <v>2278</v>
      </c>
    </row>
    <row r="110" ht="24.75" customHeight="1">
      <c r="A110" s="129"/>
      <c r="B110" s="113"/>
      <c r="C110" s="106"/>
      <c r="D110" s="106"/>
      <c r="E110" s="127"/>
      <c r="F110" s="113"/>
      <c r="G110" s="128"/>
      <c r="H110" s="129"/>
      <c r="I110" s="104"/>
      <c r="J110" s="129"/>
      <c r="K110" s="896"/>
      <c r="L110" s="130"/>
      <c r="O110" s="17" t="s">
        <v>2279</v>
      </c>
    </row>
    <row r="111" ht="24.75" customHeight="1">
      <c r="A111" s="129"/>
      <c r="B111" s="113"/>
      <c r="C111" s="106"/>
      <c r="D111" s="106"/>
      <c r="E111" s="127"/>
      <c r="F111" s="113"/>
      <c r="G111" s="128"/>
      <c r="H111" s="129"/>
      <c r="I111" s="104"/>
      <c r="J111" s="129"/>
      <c r="K111" s="896"/>
      <c r="L111" s="130"/>
      <c r="O111" s="17" t="s">
        <v>2280</v>
      </c>
    </row>
    <row r="112" ht="24.75" customHeight="1">
      <c r="A112" s="129"/>
      <c r="B112" s="113"/>
      <c r="C112" s="106"/>
      <c r="D112" s="106"/>
      <c r="E112" s="127"/>
      <c r="F112" s="113"/>
      <c r="G112" s="128"/>
      <c r="H112" s="129"/>
      <c r="I112" s="104"/>
      <c r="J112" s="129"/>
      <c r="K112" s="896"/>
      <c r="L112" s="130"/>
      <c r="O112" s="17" t="s">
        <v>2281</v>
      </c>
    </row>
    <row r="113" ht="24.75" customHeight="1">
      <c r="A113" s="129"/>
      <c r="B113" s="113"/>
      <c r="C113" s="106"/>
      <c r="D113" s="106"/>
      <c r="E113" s="127"/>
      <c r="F113" s="113"/>
      <c r="G113" s="128"/>
      <c r="H113" s="129"/>
      <c r="I113" s="104"/>
      <c r="J113" s="129"/>
      <c r="K113" s="896"/>
      <c r="L113" s="130"/>
      <c r="O113" s="17" t="s">
        <v>2198</v>
      </c>
    </row>
    <row r="114" ht="24.75" customHeight="1">
      <c r="A114" s="129"/>
      <c r="B114" s="113"/>
      <c r="C114" s="106"/>
      <c r="D114" s="106"/>
      <c r="E114" s="127"/>
      <c r="F114" s="113"/>
      <c r="G114" s="128"/>
      <c r="H114" s="129"/>
      <c r="I114" s="104"/>
      <c r="J114" s="129"/>
      <c r="K114" s="896"/>
      <c r="L114" s="130"/>
      <c r="O114" s="17" t="s">
        <v>2187</v>
      </c>
    </row>
    <row r="115" ht="24.75" customHeight="1">
      <c r="A115" s="129"/>
      <c r="B115" s="113"/>
      <c r="C115" s="106"/>
      <c r="D115" s="106"/>
      <c r="E115" s="127"/>
      <c r="F115" s="113"/>
      <c r="G115" s="128"/>
      <c r="H115" s="129"/>
      <c r="I115" s="104"/>
      <c r="J115" s="129"/>
      <c r="K115" s="896"/>
      <c r="L115" s="130"/>
      <c r="O115" s="17" t="s">
        <v>2190</v>
      </c>
    </row>
    <row r="116" ht="24.75" customHeight="1">
      <c r="A116" s="129"/>
      <c r="B116" s="113"/>
      <c r="C116" s="106"/>
      <c r="D116" s="106"/>
      <c r="E116" s="127"/>
      <c r="F116" s="113"/>
      <c r="G116" s="128"/>
      <c r="H116" s="129"/>
      <c r="I116" s="104"/>
      <c r="J116" s="129"/>
      <c r="K116" s="896"/>
      <c r="L116" s="130"/>
      <c r="O116" s="17" t="s">
        <v>2175</v>
      </c>
    </row>
    <row r="117" ht="24.75" customHeight="1">
      <c r="A117" s="129"/>
      <c r="B117" s="113"/>
      <c r="C117" s="106"/>
      <c r="D117" s="106"/>
      <c r="E117" s="127"/>
      <c r="F117" s="113"/>
      <c r="G117" s="128"/>
      <c r="H117" s="129"/>
      <c r="I117" s="104"/>
      <c r="J117" s="129"/>
      <c r="K117" s="896"/>
      <c r="L117" s="130"/>
      <c r="O117" s="17" t="s">
        <v>2225</v>
      </c>
    </row>
    <row r="118" ht="24.75" customHeight="1">
      <c r="A118" s="129"/>
      <c r="B118" s="113"/>
      <c r="C118" s="106"/>
      <c r="D118" s="106"/>
      <c r="E118" s="127"/>
      <c r="F118" s="113"/>
      <c r="G118" s="128"/>
      <c r="H118" s="129"/>
      <c r="I118" s="104"/>
      <c r="J118" s="129"/>
      <c r="K118" s="896"/>
      <c r="L118" s="130"/>
      <c r="O118" s="17" t="s">
        <v>2227</v>
      </c>
    </row>
    <row r="119" ht="24.75" customHeight="1">
      <c r="A119" s="129"/>
      <c r="B119" s="113"/>
      <c r="C119" s="106"/>
      <c r="D119" s="106"/>
      <c r="E119" s="127"/>
      <c r="F119" s="113"/>
      <c r="G119" s="128"/>
      <c r="H119" s="129"/>
      <c r="I119" s="104"/>
      <c r="J119" s="129"/>
      <c r="K119" s="896"/>
      <c r="L119" s="130"/>
      <c r="O119" s="17" t="s">
        <v>2229</v>
      </c>
    </row>
    <row r="120" ht="24.75" customHeight="1">
      <c r="A120" s="129"/>
      <c r="B120" s="113"/>
      <c r="C120" s="106"/>
      <c r="D120" s="106"/>
      <c r="E120" s="127"/>
      <c r="F120" s="113"/>
      <c r="G120" s="128"/>
      <c r="H120" s="129"/>
      <c r="I120" s="104"/>
      <c r="J120" s="129"/>
      <c r="K120" s="896"/>
      <c r="L120" s="130"/>
      <c r="O120" s="17" t="s">
        <v>2179</v>
      </c>
    </row>
    <row r="121" ht="24.75" customHeight="1">
      <c r="A121" s="129"/>
      <c r="B121" s="113"/>
      <c r="C121" s="106"/>
      <c r="D121" s="106"/>
      <c r="E121" s="127"/>
      <c r="F121" s="113"/>
      <c r="G121" s="128"/>
      <c r="H121" s="129"/>
      <c r="I121" s="104"/>
      <c r="J121" s="129"/>
      <c r="K121" s="896"/>
      <c r="L121" s="130"/>
      <c r="O121" s="17" t="s">
        <v>2232</v>
      </c>
    </row>
    <row r="122" ht="24.75" customHeight="1">
      <c r="A122" s="129"/>
      <c r="B122" s="113"/>
      <c r="C122" s="106"/>
      <c r="D122" s="106"/>
      <c r="E122" s="127"/>
      <c r="F122" s="113"/>
      <c r="G122" s="128"/>
      <c r="H122" s="129"/>
      <c r="I122" s="104"/>
      <c r="J122" s="129"/>
      <c r="K122" s="896"/>
      <c r="L122" s="130"/>
      <c r="O122" s="17" t="s">
        <v>2184</v>
      </c>
    </row>
    <row r="123" ht="24.75" customHeight="1">
      <c r="A123" s="129"/>
      <c r="B123" s="113"/>
      <c r="C123" s="106"/>
      <c r="D123" s="106"/>
      <c r="E123" s="127"/>
      <c r="F123" s="113"/>
      <c r="G123" s="128"/>
      <c r="H123" s="129"/>
      <c r="I123" s="104"/>
      <c r="J123" s="129"/>
      <c r="K123" s="896"/>
      <c r="L123" s="130"/>
      <c r="O123" s="17" t="s">
        <v>2233</v>
      </c>
    </row>
    <row r="124" ht="24.75" customHeight="1">
      <c r="A124" s="129"/>
      <c r="B124" s="113"/>
      <c r="C124" s="106"/>
      <c r="D124" s="106"/>
      <c r="E124" s="127"/>
      <c r="F124" s="113"/>
      <c r="G124" s="128"/>
      <c r="H124" s="129"/>
      <c r="I124" s="104"/>
      <c r="J124" s="129"/>
      <c r="K124" s="896"/>
      <c r="L124" s="130"/>
      <c r="O124" s="17" t="s">
        <v>2234</v>
      </c>
    </row>
    <row r="125" ht="24.75" customHeight="1">
      <c r="A125" s="129"/>
      <c r="B125" s="113"/>
      <c r="C125" s="106"/>
      <c r="D125" s="106"/>
      <c r="E125" s="127"/>
      <c r="F125" s="113"/>
      <c r="G125" s="128"/>
      <c r="H125" s="129"/>
      <c r="I125" s="104"/>
      <c r="J125" s="129"/>
      <c r="K125" s="896"/>
      <c r="L125" s="130"/>
      <c r="O125" s="17" t="s">
        <v>2235</v>
      </c>
    </row>
    <row r="126" ht="24.75" customHeight="1">
      <c r="A126" s="129"/>
      <c r="B126" s="113"/>
      <c r="C126" s="106"/>
      <c r="D126" s="106"/>
      <c r="E126" s="127"/>
      <c r="F126" s="113"/>
      <c r="G126" s="128"/>
      <c r="H126" s="129"/>
      <c r="I126" s="104"/>
      <c r="J126" s="129"/>
      <c r="K126" s="896"/>
      <c r="L126" s="130"/>
      <c r="O126" s="17" t="s">
        <v>2236</v>
      </c>
    </row>
    <row r="127" ht="24.75" customHeight="1">
      <c r="A127" s="129"/>
      <c r="B127" s="113"/>
      <c r="C127" s="106"/>
      <c r="D127" s="106"/>
      <c r="E127" s="127"/>
      <c r="F127" s="113"/>
      <c r="G127" s="128"/>
      <c r="H127" s="129"/>
      <c r="I127" s="104"/>
      <c r="J127" s="129"/>
      <c r="K127" s="896"/>
      <c r="L127" s="130"/>
      <c r="O127" s="17" t="s">
        <v>2282</v>
      </c>
    </row>
    <row r="128" ht="24.75" customHeight="1">
      <c r="A128" s="129"/>
      <c r="B128" s="113"/>
      <c r="C128" s="106"/>
      <c r="D128" s="106"/>
      <c r="E128" s="127"/>
      <c r="F128" s="113"/>
      <c r="G128" s="128"/>
      <c r="H128" s="129"/>
      <c r="I128" s="104"/>
      <c r="J128" s="129"/>
      <c r="K128" s="896"/>
      <c r="L128" s="130"/>
      <c r="O128" s="17" t="s">
        <v>2283</v>
      </c>
    </row>
    <row r="129" ht="24.75" customHeight="1">
      <c r="A129" s="129"/>
      <c r="B129" s="113"/>
      <c r="C129" s="106"/>
      <c r="D129" s="106"/>
      <c r="E129" s="127"/>
      <c r="F129" s="113"/>
      <c r="G129" s="128"/>
      <c r="H129" s="129"/>
      <c r="I129" s="104"/>
      <c r="J129" s="129"/>
      <c r="K129" s="896"/>
      <c r="L129" s="130"/>
      <c r="O129" s="17" t="s">
        <v>2284</v>
      </c>
    </row>
    <row r="130" ht="24.75" customHeight="1">
      <c r="A130" s="129"/>
      <c r="B130" s="113"/>
      <c r="C130" s="106"/>
      <c r="D130" s="106"/>
      <c r="E130" s="127"/>
      <c r="F130" s="113"/>
      <c r="G130" s="128"/>
      <c r="H130" s="129"/>
      <c r="I130" s="104"/>
      <c r="J130" s="129"/>
      <c r="K130" s="896"/>
      <c r="L130" s="130"/>
      <c r="O130" s="17" t="s">
        <v>2249</v>
      </c>
    </row>
    <row r="131" ht="24.75" customHeight="1">
      <c r="A131" s="129"/>
      <c r="B131" s="113"/>
      <c r="C131" s="106"/>
      <c r="D131" s="106"/>
      <c r="E131" s="127"/>
      <c r="F131" s="113"/>
      <c r="G131" s="128"/>
      <c r="H131" s="129"/>
      <c r="I131" s="104"/>
      <c r="J131" s="129"/>
      <c r="K131" s="896"/>
      <c r="L131" s="130"/>
      <c r="O131" s="17" t="s">
        <v>2285</v>
      </c>
    </row>
    <row r="132" ht="24.75" customHeight="1">
      <c r="A132" s="129"/>
      <c r="B132" s="113"/>
      <c r="C132" s="106"/>
      <c r="D132" s="106"/>
      <c r="E132" s="127"/>
      <c r="F132" s="113"/>
      <c r="G132" s="128"/>
      <c r="H132" s="129"/>
      <c r="I132" s="104"/>
      <c r="J132" s="129"/>
      <c r="K132" s="896"/>
      <c r="L132" s="130"/>
      <c r="O132" s="17" t="s">
        <v>2194</v>
      </c>
    </row>
    <row r="133" ht="24.75" customHeight="1">
      <c r="A133" s="129"/>
      <c r="B133" s="113"/>
      <c r="C133" s="106"/>
      <c r="D133" s="106"/>
      <c r="E133" s="127"/>
      <c r="F133" s="113"/>
      <c r="G133" s="128"/>
      <c r="H133" s="129"/>
      <c r="I133" s="104"/>
      <c r="J133" s="129"/>
      <c r="K133" s="896"/>
      <c r="L133" s="130"/>
      <c r="O133" s="17" t="s">
        <v>2198</v>
      </c>
    </row>
    <row r="134" ht="24.75" customHeight="1">
      <c r="A134" s="129"/>
      <c r="B134" s="113"/>
      <c r="C134" s="106"/>
      <c r="D134" s="106"/>
      <c r="E134" s="127"/>
      <c r="F134" s="113"/>
      <c r="G134" s="128"/>
      <c r="H134" s="129"/>
      <c r="I134" s="104"/>
      <c r="J134" s="129"/>
      <c r="K134" s="896"/>
      <c r="L134" s="130"/>
      <c r="O134" s="17" t="s">
        <v>2187</v>
      </c>
    </row>
    <row r="135" ht="24.75" customHeight="1">
      <c r="A135" s="129"/>
      <c r="B135" s="113"/>
      <c r="C135" s="106"/>
      <c r="D135" s="106"/>
      <c r="E135" s="127"/>
      <c r="F135" s="113"/>
      <c r="G135" s="128"/>
      <c r="H135" s="129"/>
      <c r="I135" s="104"/>
      <c r="J135" s="129"/>
      <c r="K135" s="896"/>
      <c r="L135" s="130"/>
      <c r="O135" s="17" t="s">
        <v>2190</v>
      </c>
    </row>
    <row r="136" ht="24.75" customHeight="1">
      <c r="A136" s="129"/>
      <c r="B136" s="113"/>
      <c r="C136" s="106"/>
      <c r="D136" s="106"/>
      <c r="E136" s="127"/>
      <c r="F136" s="113"/>
      <c r="G136" s="128"/>
      <c r="H136" s="129"/>
      <c r="I136" s="104"/>
      <c r="J136" s="129"/>
      <c r="K136" s="896"/>
      <c r="L136" s="130"/>
      <c r="O136" s="17" t="s">
        <v>2175</v>
      </c>
    </row>
    <row r="137" ht="24.75" customHeight="1">
      <c r="A137" s="129"/>
      <c r="B137" s="113"/>
      <c r="C137" s="106"/>
      <c r="D137" s="106"/>
      <c r="E137" s="127"/>
      <c r="F137" s="113"/>
      <c r="G137" s="128"/>
      <c r="H137" s="129"/>
      <c r="I137" s="104"/>
      <c r="J137" s="129"/>
      <c r="K137" s="896"/>
      <c r="L137" s="130"/>
      <c r="O137" s="17" t="s">
        <v>2225</v>
      </c>
    </row>
    <row r="138" ht="24.75" customHeight="1">
      <c r="A138" s="129"/>
      <c r="B138" s="113"/>
      <c r="C138" s="106"/>
      <c r="D138" s="106"/>
      <c r="E138" s="127"/>
      <c r="F138" s="113"/>
      <c r="G138" s="128"/>
      <c r="H138" s="129"/>
      <c r="I138" s="104"/>
      <c r="J138" s="129"/>
      <c r="K138" s="896"/>
      <c r="L138" s="130"/>
      <c r="O138" s="17" t="s">
        <v>2227</v>
      </c>
    </row>
    <row r="139" ht="24.75" customHeight="1">
      <c r="A139" s="129"/>
      <c r="B139" s="113"/>
      <c r="C139" s="106"/>
      <c r="D139" s="106"/>
      <c r="E139" s="127"/>
      <c r="F139" s="113"/>
      <c r="G139" s="128"/>
      <c r="H139" s="129"/>
      <c r="I139" s="104"/>
      <c r="J139" s="129"/>
      <c r="K139" s="896"/>
      <c r="L139" s="130"/>
      <c r="O139" s="17" t="s">
        <v>2229</v>
      </c>
    </row>
    <row r="140" ht="24.75" customHeight="1">
      <c r="A140" s="129"/>
      <c r="B140" s="113"/>
      <c r="C140" s="106"/>
      <c r="D140" s="106"/>
      <c r="E140" s="127"/>
      <c r="F140" s="113"/>
      <c r="G140" s="128"/>
      <c r="H140" s="129"/>
      <c r="I140" s="104"/>
      <c r="J140" s="129"/>
      <c r="K140" s="896"/>
      <c r="L140" s="130"/>
      <c r="O140" s="17" t="s">
        <v>2179</v>
      </c>
    </row>
    <row r="141" ht="24.75" customHeight="1">
      <c r="A141" s="129"/>
      <c r="B141" s="113"/>
      <c r="C141" s="106"/>
      <c r="D141" s="106"/>
      <c r="E141" s="127"/>
      <c r="F141" s="113"/>
      <c r="G141" s="128"/>
      <c r="H141" s="129"/>
      <c r="I141" s="104"/>
      <c r="J141" s="129"/>
      <c r="K141" s="896"/>
      <c r="L141" s="130"/>
      <c r="O141" s="17" t="s">
        <v>2232</v>
      </c>
    </row>
    <row r="142" ht="24.75" customHeight="1">
      <c r="A142" s="129"/>
      <c r="B142" s="113"/>
      <c r="C142" s="106"/>
      <c r="D142" s="106"/>
      <c r="E142" s="127"/>
      <c r="F142" s="113"/>
      <c r="G142" s="128"/>
      <c r="H142" s="129"/>
      <c r="I142" s="104"/>
      <c r="J142" s="129"/>
      <c r="K142" s="896"/>
      <c r="L142" s="130"/>
      <c r="O142" s="17" t="s">
        <v>2184</v>
      </c>
    </row>
    <row r="143" ht="24.75" customHeight="1">
      <c r="A143" s="129"/>
      <c r="B143" s="113"/>
      <c r="C143" s="106"/>
      <c r="D143" s="106"/>
      <c r="E143" s="127"/>
      <c r="F143" s="113"/>
      <c r="G143" s="128"/>
      <c r="H143" s="129"/>
      <c r="I143" s="104"/>
      <c r="J143" s="129"/>
      <c r="K143" s="896"/>
      <c r="L143" s="130"/>
      <c r="O143" s="17" t="s">
        <v>2233</v>
      </c>
    </row>
    <row r="144" ht="24.75" customHeight="1">
      <c r="A144" s="129"/>
      <c r="B144" s="113"/>
      <c r="C144" s="106"/>
      <c r="D144" s="106"/>
      <c r="E144" s="127"/>
      <c r="F144" s="113"/>
      <c r="G144" s="128"/>
      <c r="H144" s="129"/>
      <c r="I144" s="104"/>
      <c r="J144" s="129"/>
      <c r="K144" s="896"/>
      <c r="L144" s="130"/>
      <c r="O144" s="17" t="s">
        <v>2234</v>
      </c>
    </row>
    <row r="145" ht="24.75" customHeight="1">
      <c r="A145" s="129"/>
      <c r="B145" s="113"/>
      <c r="C145" s="106"/>
      <c r="D145" s="106"/>
      <c r="E145" s="127"/>
      <c r="F145" s="113"/>
      <c r="G145" s="128"/>
      <c r="H145" s="129"/>
      <c r="I145" s="104"/>
      <c r="J145" s="129"/>
      <c r="K145" s="896"/>
      <c r="L145" s="130"/>
      <c r="O145" s="17" t="s">
        <v>2235</v>
      </c>
    </row>
    <row r="146" ht="24.75" customHeight="1">
      <c r="A146" s="129"/>
      <c r="B146" s="113"/>
      <c r="C146" s="106"/>
      <c r="D146" s="106"/>
      <c r="E146" s="127"/>
      <c r="F146" s="113"/>
      <c r="G146" s="128"/>
      <c r="H146" s="129"/>
      <c r="I146" s="104"/>
      <c r="J146" s="129"/>
      <c r="K146" s="896"/>
      <c r="L146" s="130"/>
      <c r="O146" s="17" t="s">
        <v>2236</v>
      </c>
    </row>
    <row r="147" ht="24.75" customHeight="1">
      <c r="A147" s="129"/>
      <c r="B147" s="113"/>
      <c r="C147" s="106"/>
      <c r="D147" s="106"/>
      <c r="E147" s="127"/>
      <c r="F147" s="113"/>
      <c r="G147" s="128"/>
      <c r="H147" s="129"/>
      <c r="I147" s="104"/>
      <c r="J147" s="129"/>
      <c r="K147" s="896"/>
      <c r="L147" s="130"/>
      <c r="O147" s="17" t="s">
        <v>2286</v>
      </c>
    </row>
    <row r="148" ht="24.75" customHeight="1">
      <c r="A148" s="129"/>
      <c r="B148" s="113"/>
      <c r="C148" s="106"/>
      <c r="D148" s="106"/>
      <c r="E148" s="127"/>
      <c r="F148" s="113"/>
      <c r="G148" s="128"/>
      <c r="H148" s="129"/>
      <c r="I148" s="104"/>
      <c r="J148" s="129"/>
      <c r="K148" s="896"/>
      <c r="L148" s="130"/>
      <c r="O148" s="17" t="s">
        <v>2287</v>
      </c>
    </row>
    <row r="149" ht="24.75" customHeight="1">
      <c r="A149" s="129"/>
      <c r="B149" s="113"/>
      <c r="C149" s="106"/>
      <c r="D149" s="106"/>
      <c r="E149" s="127"/>
      <c r="F149" s="113"/>
      <c r="G149" s="128"/>
      <c r="H149" s="129"/>
      <c r="I149" s="104"/>
      <c r="J149" s="129"/>
      <c r="K149" s="896"/>
      <c r="L149" s="130"/>
      <c r="O149" s="17" t="s">
        <v>2288</v>
      </c>
    </row>
    <row r="150" ht="24.75" customHeight="1">
      <c r="A150" s="129"/>
      <c r="B150" s="113"/>
      <c r="C150" s="106"/>
      <c r="D150" s="106"/>
      <c r="E150" s="127"/>
      <c r="F150" s="113"/>
      <c r="G150" s="128"/>
      <c r="H150" s="129"/>
      <c r="I150" s="104"/>
      <c r="J150" s="129"/>
      <c r="K150" s="896"/>
      <c r="L150" s="130"/>
      <c r="O150" s="17" t="s">
        <v>2289</v>
      </c>
    </row>
    <row r="151" ht="24.75" customHeight="1">
      <c r="A151" s="129"/>
      <c r="B151" s="113"/>
      <c r="C151" s="106"/>
      <c r="D151" s="106"/>
      <c r="E151" s="127"/>
      <c r="F151" s="113"/>
      <c r="G151" s="128"/>
      <c r="H151" s="129"/>
      <c r="I151" s="104"/>
      <c r="J151" s="129"/>
      <c r="K151" s="896"/>
      <c r="L151" s="130"/>
      <c r="O151" s="17" t="s">
        <v>2290</v>
      </c>
    </row>
    <row r="152" ht="24.75" customHeight="1">
      <c r="A152" s="129"/>
      <c r="B152" s="113"/>
      <c r="C152" s="106"/>
      <c r="D152" s="106"/>
      <c r="E152" s="127"/>
      <c r="F152" s="113"/>
      <c r="G152" s="128"/>
      <c r="H152" s="129"/>
      <c r="I152" s="104"/>
      <c r="J152" s="129"/>
      <c r="K152" s="896"/>
      <c r="L152" s="130"/>
      <c r="O152" s="17" t="s">
        <v>2291</v>
      </c>
    </row>
    <row r="153" ht="24.75" customHeight="1">
      <c r="A153" s="129"/>
      <c r="B153" s="113"/>
      <c r="C153" s="106"/>
      <c r="D153" s="106"/>
      <c r="E153" s="127"/>
      <c r="F153" s="113"/>
      <c r="G153" s="128"/>
      <c r="H153" s="129"/>
      <c r="I153" s="104"/>
      <c r="J153" s="129"/>
      <c r="K153" s="896"/>
      <c r="L153" s="130"/>
      <c r="O153" s="17" t="s">
        <v>2292</v>
      </c>
    </row>
    <row r="154" ht="24.75" customHeight="1">
      <c r="A154" s="129"/>
      <c r="B154" s="113"/>
      <c r="C154" s="106"/>
      <c r="D154" s="106"/>
      <c r="E154" s="127"/>
      <c r="F154" s="113"/>
      <c r="G154" s="128"/>
      <c r="H154" s="129"/>
      <c r="I154" s="104"/>
      <c r="J154" s="129"/>
      <c r="K154" s="896"/>
      <c r="L154" s="130"/>
      <c r="O154" s="17" t="s">
        <v>2293</v>
      </c>
    </row>
    <row r="155" ht="24.75" customHeight="1">
      <c r="A155" s="129"/>
      <c r="B155" s="113"/>
      <c r="C155" s="106"/>
      <c r="D155" s="106"/>
      <c r="E155" s="127"/>
      <c r="F155" s="113"/>
      <c r="G155" s="128"/>
      <c r="H155" s="129"/>
      <c r="I155" s="104"/>
      <c r="J155" s="129"/>
      <c r="K155" s="896"/>
      <c r="L155" s="130"/>
      <c r="O155" s="17" t="s">
        <v>2294</v>
      </c>
    </row>
    <row r="156" ht="24.75" customHeight="1">
      <c r="A156" s="129"/>
      <c r="B156" s="113"/>
      <c r="C156" s="106"/>
      <c r="D156" s="106"/>
      <c r="E156" s="127"/>
      <c r="F156" s="113"/>
      <c r="G156" s="128"/>
      <c r="H156" s="129"/>
      <c r="I156" s="104"/>
      <c r="J156" s="129"/>
      <c r="K156" s="896"/>
      <c r="L156" s="130"/>
      <c r="O156" s="17" t="s">
        <v>2295</v>
      </c>
    </row>
    <row r="157" ht="24.75" customHeight="1">
      <c r="A157" s="129"/>
      <c r="B157" s="113"/>
      <c r="C157" s="106"/>
      <c r="D157" s="106"/>
      <c r="E157" s="127"/>
      <c r="F157" s="113"/>
      <c r="G157" s="128"/>
      <c r="H157" s="129"/>
      <c r="I157" s="104"/>
      <c r="J157" s="129"/>
      <c r="K157" s="896"/>
      <c r="L157" s="130"/>
      <c r="O157" s="17" t="s">
        <v>2296</v>
      </c>
    </row>
    <row r="158" ht="24.75" customHeight="1">
      <c r="A158" s="129"/>
      <c r="B158" s="113"/>
      <c r="C158" s="106"/>
      <c r="D158" s="106"/>
      <c r="E158" s="127"/>
      <c r="F158" s="113"/>
      <c r="G158" s="128"/>
      <c r="H158" s="129"/>
      <c r="I158" s="104"/>
      <c r="J158" s="129"/>
      <c r="K158" s="896"/>
      <c r="L158" s="130"/>
      <c r="O158" s="17" t="s">
        <v>2297</v>
      </c>
    </row>
    <row r="159" ht="24.75" customHeight="1">
      <c r="A159" s="129"/>
      <c r="B159" s="113"/>
      <c r="C159" s="106"/>
      <c r="D159" s="106"/>
      <c r="E159" s="127"/>
      <c r="F159" s="113"/>
      <c r="G159" s="128"/>
      <c r="H159" s="129"/>
      <c r="I159" s="104"/>
      <c r="J159" s="129"/>
      <c r="K159" s="896"/>
      <c r="L159" s="130"/>
      <c r="O159" s="17" t="s">
        <v>2298</v>
      </c>
    </row>
    <row r="160" ht="24.75" customHeight="1">
      <c r="A160" s="129"/>
      <c r="B160" s="113"/>
      <c r="C160" s="106"/>
      <c r="D160" s="106"/>
      <c r="E160" s="127"/>
      <c r="F160" s="113"/>
      <c r="G160" s="128"/>
      <c r="H160" s="129"/>
      <c r="I160" s="104"/>
      <c r="J160" s="129"/>
      <c r="K160" s="896"/>
      <c r="L160" s="130"/>
      <c r="O160" s="17" t="s">
        <v>2299</v>
      </c>
    </row>
    <row r="161" ht="24.75" customHeight="1">
      <c r="A161" s="129"/>
      <c r="B161" s="113"/>
      <c r="C161" s="106"/>
      <c r="D161" s="106"/>
      <c r="E161" s="127"/>
      <c r="F161" s="113"/>
      <c r="G161" s="128"/>
      <c r="H161" s="129"/>
      <c r="I161" s="104"/>
      <c r="J161" s="129"/>
      <c r="K161" s="896"/>
      <c r="L161" s="130"/>
      <c r="O161" s="17" t="s">
        <v>2300</v>
      </c>
    </row>
    <row r="162" ht="24.75" customHeight="1">
      <c r="A162" s="129"/>
      <c r="B162" s="113"/>
      <c r="C162" s="106"/>
      <c r="D162" s="106"/>
      <c r="E162" s="127"/>
      <c r="F162" s="113"/>
      <c r="G162" s="128"/>
      <c r="H162" s="129"/>
      <c r="I162" s="104"/>
      <c r="J162" s="129"/>
      <c r="K162" s="896"/>
      <c r="L162" s="130"/>
      <c r="O162" s="17" t="s">
        <v>2301</v>
      </c>
    </row>
    <row r="163" ht="24.75" customHeight="1">
      <c r="A163" s="129"/>
      <c r="B163" s="113"/>
      <c r="C163" s="106"/>
      <c r="D163" s="106"/>
      <c r="E163" s="127"/>
      <c r="F163" s="113"/>
      <c r="G163" s="128"/>
      <c r="H163" s="129"/>
      <c r="I163" s="104"/>
      <c r="J163" s="129"/>
      <c r="K163" s="896"/>
      <c r="L163" s="130"/>
      <c r="O163" s="17" t="s">
        <v>2302</v>
      </c>
    </row>
    <row r="164" ht="24.75" customHeight="1">
      <c r="A164" s="129"/>
      <c r="B164" s="113"/>
      <c r="C164" s="106"/>
      <c r="D164" s="106"/>
      <c r="E164" s="127"/>
      <c r="F164" s="113"/>
      <c r="G164" s="128"/>
      <c r="H164" s="129"/>
      <c r="I164" s="104"/>
      <c r="J164" s="129"/>
      <c r="K164" s="896"/>
      <c r="L164" s="130"/>
      <c r="O164" s="17" t="s">
        <v>2303</v>
      </c>
    </row>
    <row r="165" ht="24.75" customHeight="1">
      <c r="A165" s="129"/>
      <c r="B165" s="113"/>
      <c r="C165" s="106"/>
      <c r="D165" s="106"/>
      <c r="E165" s="127"/>
      <c r="F165" s="113"/>
      <c r="G165" s="128"/>
      <c r="H165" s="129"/>
      <c r="I165" s="104"/>
      <c r="J165" s="129"/>
      <c r="K165" s="896"/>
      <c r="L165" s="130"/>
      <c r="O165" s="17" t="s">
        <v>2304</v>
      </c>
    </row>
    <row r="166" ht="24.75" customHeight="1">
      <c r="A166" s="129"/>
      <c r="B166" s="113"/>
      <c r="C166" s="106"/>
      <c r="D166" s="106"/>
      <c r="E166" s="127"/>
      <c r="F166" s="113"/>
      <c r="G166" s="128"/>
      <c r="H166" s="129"/>
      <c r="I166" s="104"/>
      <c r="J166" s="129"/>
      <c r="K166" s="896"/>
      <c r="L166" s="130"/>
      <c r="O166" s="17" t="s">
        <v>2305</v>
      </c>
    </row>
    <row r="167" ht="24.75" customHeight="1">
      <c r="A167" s="129"/>
      <c r="B167" s="113"/>
      <c r="C167" s="106"/>
      <c r="D167" s="106"/>
      <c r="E167" s="127"/>
      <c r="F167" s="113"/>
      <c r="G167" s="128"/>
      <c r="H167" s="129"/>
      <c r="I167" s="104"/>
      <c r="J167" s="129"/>
      <c r="K167" s="896"/>
      <c r="L167" s="130"/>
      <c r="O167" s="17" t="s">
        <v>2306</v>
      </c>
    </row>
    <row r="168" ht="24.75" customHeight="1">
      <c r="A168" s="129"/>
      <c r="B168" s="113"/>
      <c r="C168" s="106"/>
      <c r="D168" s="106"/>
      <c r="E168" s="127"/>
      <c r="F168" s="113"/>
      <c r="G168" s="128"/>
      <c r="H168" s="129"/>
      <c r="I168" s="104"/>
      <c r="J168" s="129"/>
      <c r="K168" s="896"/>
      <c r="L168" s="130"/>
      <c r="O168" s="17" t="s">
        <v>2307</v>
      </c>
    </row>
    <row r="169" ht="24.75" customHeight="1">
      <c r="A169" s="129"/>
      <c r="B169" s="113"/>
      <c r="C169" s="106"/>
      <c r="D169" s="106"/>
      <c r="E169" s="127"/>
      <c r="F169" s="113"/>
      <c r="G169" s="128"/>
      <c r="H169" s="129"/>
      <c r="I169" s="104"/>
      <c r="J169" s="129"/>
      <c r="K169" s="896"/>
      <c r="L169" s="130"/>
      <c r="O169" s="17" t="s">
        <v>2308</v>
      </c>
    </row>
    <row r="170" ht="24.75" customHeight="1">
      <c r="A170" s="129"/>
      <c r="B170" s="113"/>
      <c r="C170" s="106"/>
      <c r="D170" s="106"/>
      <c r="E170" s="127"/>
      <c r="F170" s="113"/>
      <c r="G170" s="128"/>
      <c r="H170" s="129"/>
      <c r="I170" s="104"/>
      <c r="J170" s="129"/>
      <c r="K170" s="896"/>
      <c r="L170" s="130"/>
      <c r="O170" s="17" t="s">
        <v>2309</v>
      </c>
    </row>
    <row r="171" ht="24.75" customHeight="1">
      <c r="A171" s="129"/>
      <c r="B171" s="113"/>
      <c r="C171" s="106"/>
      <c r="D171" s="106"/>
      <c r="E171" s="127"/>
      <c r="F171" s="113"/>
      <c r="G171" s="128"/>
      <c r="H171" s="129"/>
      <c r="I171" s="104"/>
      <c r="J171" s="129"/>
      <c r="K171" s="896"/>
      <c r="L171" s="130"/>
      <c r="O171" s="17" t="s">
        <v>2310</v>
      </c>
    </row>
    <row r="172" ht="24.75" customHeight="1">
      <c r="A172" s="129"/>
      <c r="B172" s="113"/>
      <c r="C172" s="106"/>
      <c r="D172" s="106"/>
      <c r="E172" s="127"/>
      <c r="F172" s="113"/>
      <c r="G172" s="128"/>
      <c r="H172" s="129"/>
      <c r="I172" s="104"/>
      <c r="J172" s="129"/>
      <c r="K172" s="896"/>
      <c r="L172" s="130"/>
      <c r="O172" s="17" t="s">
        <v>2311</v>
      </c>
    </row>
    <row r="173" ht="24.75" customHeight="1">
      <c r="A173" s="129"/>
      <c r="B173" s="113"/>
      <c r="C173" s="106"/>
      <c r="D173" s="106"/>
      <c r="E173" s="127"/>
      <c r="F173" s="113"/>
      <c r="G173" s="128"/>
      <c r="H173" s="129"/>
      <c r="I173" s="104"/>
      <c r="J173" s="129"/>
      <c r="K173" s="896"/>
      <c r="L173" s="130"/>
      <c r="O173" s="17" t="s">
        <v>2312</v>
      </c>
    </row>
    <row r="174" ht="24.75" customHeight="1">
      <c r="A174" s="129"/>
      <c r="B174" s="113"/>
      <c r="C174" s="106"/>
      <c r="D174" s="106"/>
      <c r="E174" s="127"/>
      <c r="F174" s="113"/>
      <c r="G174" s="128"/>
      <c r="H174" s="129"/>
      <c r="I174" s="104"/>
      <c r="J174" s="129"/>
      <c r="K174" s="896"/>
      <c r="L174" s="130"/>
      <c r="O174" s="17" t="s">
        <v>2313</v>
      </c>
    </row>
    <row r="175" ht="24.75" customHeight="1">
      <c r="A175" s="129"/>
      <c r="B175" s="113"/>
      <c r="C175" s="106"/>
      <c r="D175" s="106"/>
      <c r="E175" s="127"/>
      <c r="F175" s="113"/>
      <c r="G175" s="128"/>
      <c r="H175" s="129"/>
      <c r="I175" s="104"/>
      <c r="J175" s="129"/>
      <c r="K175" s="896"/>
      <c r="L175" s="130"/>
      <c r="O175" s="17" t="s">
        <v>2314</v>
      </c>
    </row>
    <row r="176" ht="24.75" customHeight="1">
      <c r="A176" s="129"/>
      <c r="B176" s="113"/>
      <c r="C176" s="106"/>
      <c r="D176" s="106"/>
      <c r="E176" s="127"/>
      <c r="F176" s="113"/>
      <c r="G176" s="128"/>
      <c r="H176" s="129"/>
      <c r="I176" s="104"/>
      <c r="J176" s="129"/>
      <c r="K176" s="896"/>
      <c r="L176" s="130"/>
      <c r="O176" s="17" t="s">
        <v>2315</v>
      </c>
    </row>
    <row r="177" ht="24.75" customHeight="1">
      <c r="A177" s="129"/>
      <c r="B177" s="113"/>
      <c r="C177" s="106"/>
      <c r="D177" s="106"/>
      <c r="E177" s="127"/>
      <c r="F177" s="113"/>
      <c r="G177" s="128"/>
      <c r="H177" s="129"/>
      <c r="I177" s="104"/>
      <c r="J177" s="129"/>
      <c r="K177" s="896"/>
      <c r="L177" s="130"/>
      <c r="O177" s="17" t="s">
        <v>2316</v>
      </c>
    </row>
    <row r="178" ht="24.75" customHeight="1">
      <c r="A178" s="129"/>
      <c r="B178" s="113"/>
      <c r="C178" s="106"/>
      <c r="D178" s="106"/>
      <c r="E178" s="127"/>
      <c r="F178" s="113"/>
      <c r="G178" s="128"/>
      <c r="H178" s="129"/>
      <c r="I178" s="104"/>
      <c r="J178" s="129"/>
      <c r="K178" s="896"/>
      <c r="L178" s="130"/>
      <c r="O178" s="17" t="s">
        <v>2317</v>
      </c>
    </row>
    <row r="179" ht="24.75" customHeight="1">
      <c r="A179" s="129"/>
      <c r="B179" s="113"/>
      <c r="C179" s="106"/>
      <c r="D179" s="106"/>
      <c r="E179" s="127"/>
      <c r="F179" s="113"/>
      <c r="G179" s="128"/>
      <c r="H179" s="129"/>
      <c r="I179" s="104"/>
      <c r="J179" s="129"/>
      <c r="K179" s="896"/>
      <c r="L179" s="130"/>
      <c r="O179" s="17" t="s">
        <v>2318</v>
      </c>
    </row>
    <row r="180" ht="24.75" customHeight="1">
      <c r="A180" s="129"/>
      <c r="B180" s="113"/>
      <c r="C180" s="106"/>
      <c r="D180" s="106"/>
      <c r="E180" s="127"/>
      <c r="F180" s="113"/>
      <c r="G180" s="128"/>
      <c r="H180" s="129"/>
      <c r="I180" s="104"/>
      <c r="J180" s="129"/>
      <c r="K180" s="896"/>
      <c r="L180" s="130"/>
      <c r="O180" s="17" t="s">
        <v>2319</v>
      </c>
    </row>
    <row r="181" ht="24.75" customHeight="1">
      <c r="A181" s="129"/>
      <c r="B181" s="113"/>
      <c r="C181" s="106"/>
      <c r="D181" s="106"/>
      <c r="E181" s="127"/>
      <c r="F181" s="113"/>
      <c r="G181" s="128"/>
      <c r="H181" s="129"/>
      <c r="I181" s="104"/>
      <c r="J181" s="129"/>
      <c r="K181" s="896"/>
      <c r="L181" s="130"/>
      <c r="O181" s="17" t="s">
        <v>2320</v>
      </c>
    </row>
    <row r="182" ht="24.75" customHeight="1">
      <c r="A182" s="129"/>
      <c r="B182" s="113"/>
      <c r="C182" s="106"/>
      <c r="D182" s="106"/>
      <c r="E182" s="127"/>
      <c r="F182" s="113"/>
      <c r="G182" s="128"/>
      <c r="H182" s="129"/>
      <c r="I182" s="104"/>
      <c r="J182" s="129"/>
      <c r="K182" s="896"/>
      <c r="L182" s="130"/>
      <c r="O182" s="17" t="s">
        <v>2321</v>
      </c>
    </row>
    <row r="183" ht="24.75" customHeight="1">
      <c r="A183" s="129"/>
      <c r="B183" s="113"/>
      <c r="C183" s="106"/>
      <c r="D183" s="106"/>
      <c r="E183" s="127"/>
      <c r="F183" s="113"/>
      <c r="G183" s="128"/>
      <c r="H183" s="129"/>
      <c r="I183" s="104"/>
      <c r="J183" s="129"/>
      <c r="K183" s="896"/>
      <c r="L183" s="130"/>
      <c r="O183" s="17" t="s">
        <v>2322</v>
      </c>
    </row>
    <row r="184" ht="24.75" customHeight="1">
      <c r="A184" s="129"/>
      <c r="B184" s="113"/>
      <c r="C184" s="106"/>
      <c r="D184" s="106"/>
      <c r="E184" s="127"/>
      <c r="F184" s="113"/>
      <c r="G184" s="128"/>
      <c r="H184" s="129"/>
      <c r="I184" s="104"/>
      <c r="J184" s="129"/>
      <c r="K184" s="896"/>
      <c r="L184" s="130"/>
      <c r="O184" s="17" t="s">
        <v>2323</v>
      </c>
    </row>
    <row r="185" ht="24.75" customHeight="1">
      <c r="A185" s="129"/>
      <c r="B185" s="113"/>
      <c r="C185" s="106"/>
      <c r="D185" s="106"/>
      <c r="E185" s="127"/>
      <c r="F185" s="113"/>
      <c r="G185" s="128"/>
      <c r="H185" s="129"/>
      <c r="I185" s="104"/>
      <c r="J185" s="129"/>
      <c r="K185" s="896"/>
      <c r="L185" s="130"/>
      <c r="O185" s="17" t="s">
        <v>2324</v>
      </c>
    </row>
    <row r="186" ht="24.75" customHeight="1">
      <c r="A186" s="129"/>
      <c r="B186" s="113"/>
      <c r="C186" s="106"/>
      <c r="D186" s="106"/>
      <c r="E186" s="127"/>
      <c r="F186" s="113"/>
      <c r="G186" s="128"/>
      <c r="H186" s="129"/>
      <c r="I186" s="104"/>
      <c r="J186" s="129"/>
      <c r="K186" s="896"/>
      <c r="L186" s="130"/>
      <c r="O186" s="17" t="s">
        <v>2325</v>
      </c>
    </row>
    <row r="187" ht="24.75" customHeight="1">
      <c r="A187" s="129"/>
      <c r="B187" s="113"/>
      <c r="C187" s="106"/>
      <c r="D187" s="106"/>
      <c r="E187" s="127"/>
      <c r="F187" s="113"/>
      <c r="G187" s="128"/>
      <c r="H187" s="129"/>
      <c r="I187" s="104"/>
      <c r="J187" s="129"/>
      <c r="K187" s="896"/>
      <c r="L187" s="130"/>
      <c r="O187" s="17" t="s">
        <v>2326</v>
      </c>
    </row>
    <row r="188" ht="24.75" customHeight="1">
      <c r="A188" s="129"/>
      <c r="B188" s="113"/>
      <c r="C188" s="106"/>
      <c r="D188" s="106"/>
      <c r="E188" s="127"/>
      <c r="F188" s="113"/>
      <c r="G188" s="128"/>
      <c r="H188" s="129"/>
      <c r="I188" s="104"/>
      <c r="J188" s="129"/>
      <c r="K188" s="896"/>
      <c r="L188" s="130"/>
      <c r="O188" s="17" t="s">
        <v>2327</v>
      </c>
    </row>
    <row r="189" ht="24.75" customHeight="1">
      <c r="A189" s="129"/>
      <c r="B189" s="113"/>
      <c r="C189" s="106"/>
      <c r="D189" s="106"/>
      <c r="E189" s="127"/>
      <c r="F189" s="113"/>
      <c r="G189" s="128"/>
      <c r="H189" s="129"/>
      <c r="I189" s="104"/>
      <c r="J189" s="129"/>
      <c r="K189" s="896"/>
      <c r="L189" s="130"/>
      <c r="O189" s="17" t="s">
        <v>2328</v>
      </c>
    </row>
    <row r="190" ht="24.75" customHeight="1">
      <c r="A190" s="129"/>
      <c r="B190" s="113"/>
      <c r="C190" s="106"/>
      <c r="D190" s="106"/>
      <c r="E190" s="127"/>
      <c r="F190" s="113"/>
      <c r="G190" s="128"/>
      <c r="H190" s="129"/>
      <c r="I190" s="104"/>
      <c r="J190" s="129"/>
      <c r="K190" s="896"/>
      <c r="L190" s="130"/>
      <c r="O190" s="17" t="s">
        <v>2329</v>
      </c>
    </row>
    <row r="191" ht="24.75" customHeight="1">
      <c r="A191" s="129"/>
      <c r="B191" s="113"/>
      <c r="C191" s="106"/>
      <c r="D191" s="106"/>
      <c r="E191" s="127"/>
      <c r="F191" s="113"/>
      <c r="G191" s="128"/>
      <c r="H191" s="129"/>
      <c r="I191" s="104"/>
      <c r="J191" s="129"/>
      <c r="K191" s="896"/>
      <c r="L191" s="130"/>
      <c r="O191" s="17" t="s">
        <v>2330</v>
      </c>
    </row>
    <row r="192" ht="24.75" customHeight="1">
      <c r="A192" s="129"/>
      <c r="B192" s="113"/>
      <c r="C192" s="106"/>
      <c r="D192" s="106"/>
      <c r="E192" s="127"/>
      <c r="F192" s="113"/>
      <c r="G192" s="128"/>
      <c r="H192" s="129"/>
      <c r="I192" s="104"/>
      <c r="J192" s="129"/>
      <c r="K192" s="896"/>
      <c r="L192" s="130"/>
      <c r="O192" s="17" t="s">
        <v>2331</v>
      </c>
    </row>
    <row r="193" ht="24.75" customHeight="1">
      <c r="A193" s="129"/>
      <c r="B193" s="113"/>
      <c r="C193" s="106"/>
      <c r="D193" s="106"/>
      <c r="E193" s="127"/>
      <c r="F193" s="113"/>
      <c r="G193" s="128"/>
      <c r="H193" s="129"/>
      <c r="I193" s="104"/>
      <c r="J193" s="129"/>
      <c r="K193" s="896"/>
      <c r="L193" s="130"/>
      <c r="O193" s="17" t="s">
        <v>2332</v>
      </c>
    </row>
    <row r="194" ht="24.75" customHeight="1">
      <c r="A194" s="129"/>
      <c r="B194" s="113"/>
      <c r="C194" s="106"/>
      <c r="D194" s="106"/>
      <c r="E194" s="127"/>
      <c r="F194" s="113"/>
      <c r="G194" s="128"/>
      <c r="H194" s="129"/>
      <c r="I194" s="104"/>
      <c r="J194" s="129"/>
      <c r="K194" s="896"/>
      <c r="L194" s="130"/>
      <c r="O194" s="17" t="s">
        <v>2333</v>
      </c>
    </row>
    <row r="195" ht="24.75" customHeight="1">
      <c r="A195" s="129"/>
      <c r="B195" s="113"/>
      <c r="C195" s="106"/>
      <c r="D195" s="106"/>
      <c r="E195" s="127"/>
      <c r="F195" s="113"/>
      <c r="G195" s="128"/>
      <c r="H195" s="129"/>
      <c r="I195" s="104"/>
      <c r="J195" s="129"/>
      <c r="K195" s="896"/>
      <c r="L195" s="130"/>
      <c r="O195" s="17" t="s">
        <v>2334</v>
      </c>
    </row>
    <row r="196" ht="24.75" customHeight="1">
      <c r="A196" s="129"/>
      <c r="B196" s="113"/>
      <c r="C196" s="106"/>
      <c r="D196" s="106"/>
      <c r="E196" s="127"/>
      <c r="F196" s="113"/>
      <c r="G196" s="128"/>
      <c r="H196" s="129"/>
      <c r="I196" s="104"/>
      <c r="J196" s="129"/>
      <c r="K196" s="896"/>
      <c r="L196" s="130"/>
      <c r="O196" s="17" t="s">
        <v>2335</v>
      </c>
    </row>
    <row r="197" ht="24.75" customHeight="1">
      <c r="A197" s="129"/>
      <c r="B197" s="113"/>
      <c r="C197" s="106"/>
      <c r="D197" s="106"/>
      <c r="E197" s="127"/>
      <c r="F197" s="113"/>
      <c r="G197" s="128"/>
      <c r="H197" s="129"/>
      <c r="I197" s="104"/>
      <c r="J197" s="129"/>
      <c r="K197" s="896"/>
      <c r="L197" s="130"/>
      <c r="O197" s="17" t="s">
        <v>2336</v>
      </c>
    </row>
    <row r="198" ht="24.75" customHeight="1">
      <c r="A198" s="129"/>
      <c r="B198" s="113"/>
      <c r="C198" s="106"/>
      <c r="D198" s="106"/>
      <c r="E198" s="127"/>
      <c r="F198" s="113"/>
      <c r="G198" s="128"/>
      <c r="H198" s="129"/>
      <c r="I198" s="104"/>
      <c r="J198" s="129"/>
      <c r="K198" s="896"/>
      <c r="L198" s="130"/>
      <c r="O198" s="17" t="s">
        <v>2227</v>
      </c>
    </row>
    <row r="199" ht="24.75" customHeight="1">
      <c r="A199" s="129"/>
      <c r="B199" s="113"/>
      <c r="C199" s="106"/>
      <c r="D199" s="106"/>
      <c r="E199" s="127"/>
      <c r="F199" s="113"/>
      <c r="G199" s="128"/>
      <c r="H199" s="129"/>
      <c r="I199" s="104"/>
      <c r="J199" s="129"/>
      <c r="K199" s="896"/>
      <c r="L199" s="130"/>
      <c r="O199" s="17" t="s">
        <v>2229</v>
      </c>
    </row>
    <row r="200" ht="24.75" customHeight="1">
      <c r="A200" s="129"/>
      <c r="B200" s="113"/>
      <c r="C200" s="106"/>
      <c r="D200" s="106"/>
      <c r="E200" s="127"/>
      <c r="F200" s="113"/>
      <c r="G200" s="128"/>
      <c r="H200" s="129"/>
      <c r="I200" s="104"/>
      <c r="J200" s="129"/>
      <c r="K200" s="896"/>
      <c r="L200" s="130"/>
      <c r="O200" s="17" t="s">
        <v>2179</v>
      </c>
    </row>
    <row r="201" ht="24.75" customHeight="1">
      <c r="A201" s="129"/>
      <c r="B201" s="113"/>
      <c r="C201" s="106"/>
      <c r="D201" s="106"/>
      <c r="E201" s="127"/>
      <c r="F201" s="113"/>
      <c r="G201" s="128"/>
      <c r="H201" s="129"/>
      <c r="I201" s="104"/>
      <c r="J201" s="129"/>
      <c r="K201" s="896"/>
      <c r="L201" s="130"/>
      <c r="O201" s="17" t="s">
        <v>2232</v>
      </c>
    </row>
    <row r="202" ht="24.75" customHeight="1">
      <c r="A202" s="129"/>
      <c r="B202" s="113"/>
      <c r="C202" s="106"/>
      <c r="D202" s="106"/>
      <c r="E202" s="127"/>
      <c r="F202" s="113"/>
      <c r="G202" s="128"/>
      <c r="H202" s="129"/>
      <c r="I202" s="104"/>
      <c r="J202" s="129"/>
      <c r="K202" s="896"/>
      <c r="L202" s="130"/>
      <c r="O202" s="17" t="s">
        <v>2184</v>
      </c>
    </row>
    <row r="203" ht="24.75" customHeight="1">
      <c r="A203" s="129"/>
      <c r="B203" s="113"/>
      <c r="C203" s="106"/>
      <c r="D203" s="106"/>
      <c r="E203" s="127"/>
      <c r="F203" s="113"/>
      <c r="G203" s="128"/>
      <c r="H203" s="129"/>
      <c r="I203" s="104"/>
      <c r="J203" s="129"/>
      <c r="K203" s="896"/>
      <c r="L203" s="130"/>
      <c r="O203" s="17" t="s">
        <v>2233</v>
      </c>
    </row>
    <row r="204" ht="24.75" customHeight="1">
      <c r="A204" s="129"/>
      <c r="B204" s="113"/>
      <c r="C204" s="106"/>
      <c r="D204" s="106"/>
      <c r="E204" s="127"/>
      <c r="F204" s="113"/>
      <c r="G204" s="128"/>
      <c r="H204" s="129"/>
      <c r="I204" s="104"/>
      <c r="J204" s="129"/>
      <c r="K204" s="896"/>
      <c r="L204" s="130"/>
      <c r="O204" s="17" t="s">
        <v>2234</v>
      </c>
    </row>
    <row r="205" ht="24.75" customHeight="1">
      <c r="A205" s="129"/>
      <c r="B205" s="113"/>
      <c r="C205" s="106"/>
      <c r="D205" s="106"/>
      <c r="E205" s="127"/>
      <c r="F205" s="113"/>
      <c r="G205" s="128"/>
      <c r="H205" s="129"/>
      <c r="I205" s="104"/>
      <c r="J205" s="129"/>
      <c r="K205" s="896"/>
      <c r="L205" s="130"/>
      <c r="O205" s="17" t="s">
        <v>2235</v>
      </c>
    </row>
    <row r="206" ht="24.75" customHeight="1">
      <c r="A206" s="129"/>
      <c r="B206" s="113"/>
      <c r="C206" s="106"/>
      <c r="D206" s="106"/>
      <c r="E206" s="127"/>
      <c r="F206" s="113"/>
      <c r="G206" s="128"/>
      <c r="H206" s="129"/>
      <c r="I206" s="104"/>
      <c r="J206" s="129"/>
      <c r="K206" s="896"/>
      <c r="L206" s="130"/>
      <c r="O206" s="17" t="s">
        <v>2236</v>
      </c>
    </row>
    <row r="207" ht="24.75" customHeight="1">
      <c r="A207" s="129"/>
      <c r="B207" s="113"/>
      <c r="C207" s="106"/>
      <c r="D207" s="106"/>
      <c r="E207" s="127"/>
      <c r="F207" s="113"/>
      <c r="G207" s="128"/>
      <c r="H207" s="129"/>
      <c r="I207" s="104"/>
      <c r="J207" s="129"/>
      <c r="K207" s="896"/>
      <c r="L207" s="130"/>
      <c r="O207" s="17" t="s">
        <v>2337</v>
      </c>
    </row>
    <row r="208" ht="24.75" customHeight="1">
      <c r="A208" s="129"/>
      <c r="B208" s="113"/>
      <c r="C208" s="106"/>
      <c r="D208" s="106"/>
      <c r="E208" s="127"/>
      <c r="F208" s="113"/>
      <c r="G208" s="128"/>
      <c r="H208" s="129"/>
      <c r="I208" s="104"/>
      <c r="J208" s="129"/>
      <c r="K208" s="896"/>
      <c r="L208" s="130"/>
      <c r="O208" s="17" t="s">
        <v>2338</v>
      </c>
    </row>
    <row r="209" ht="24.75" customHeight="1">
      <c r="A209" s="129"/>
      <c r="B209" s="113"/>
      <c r="C209" s="106"/>
      <c r="D209" s="106"/>
      <c r="E209" s="127"/>
      <c r="F209" s="113"/>
      <c r="G209" s="128"/>
      <c r="H209" s="129"/>
      <c r="I209" s="104"/>
      <c r="J209" s="129"/>
      <c r="K209" s="896"/>
      <c r="L209" s="130"/>
      <c r="O209" s="17" t="s">
        <v>2339</v>
      </c>
    </row>
    <row r="210" ht="24.75" customHeight="1">
      <c r="A210" s="129"/>
      <c r="B210" s="113"/>
      <c r="C210" s="106"/>
      <c r="D210" s="106"/>
      <c r="E210" s="127"/>
      <c r="F210" s="113"/>
      <c r="G210" s="128"/>
      <c r="H210" s="129"/>
      <c r="I210" s="104"/>
      <c r="J210" s="129"/>
      <c r="K210" s="896"/>
      <c r="L210" s="130"/>
      <c r="O210" s="17" t="s">
        <v>2190</v>
      </c>
    </row>
    <row r="211" ht="24.75" customHeight="1">
      <c r="A211" s="129"/>
      <c r="B211" s="113"/>
      <c r="C211" s="106"/>
      <c r="D211" s="106"/>
      <c r="E211" s="127"/>
      <c r="F211" s="113"/>
      <c r="G211" s="128"/>
      <c r="H211" s="129"/>
      <c r="I211" s="104"/>
      <c r="J211" s="129"/>
      <c r="K211" s="896"/>
      <c r="L211" s="130"/>
      <c r="O211" s="17" t="s">
        <v>2340</v>
      </c>
    </row>
    <row r="212" ht="24.75" customHeight="1">
      <c r="A212" s="129"/>
      <c r="B212" s="113"/>
      <c r="C212" s="106"/>
      <c r="D212" s="106"/>
      <c r="E212" s="127"/>
      <c r="F212" s="113"/>
      <c r="G212" s="128"/>
      <c r="H212" s="129"/>
      <c r="I212" s="104"/>
      <c r="J212" s="129"/>
      <c r="K212" s="896"/>
      <c r="L212" s="130"/>
      <c r="O212" s="17" t="s">
        <v>2341</v>
      </c>
    </row>
    <row r="213" ht="24.75" customHeight="1">
      <c r="A213" s="129"/>
      <c r="B213" s="113"/>
      <c r="C213" s="106"/>
      <c r="D213" s="106"/>
      <c r="E213" s="127"/>
      <c r="F213" s="113"/>
      <c r="G213" s="128"/>
      <c r="H213" s="129"/>
      <c r="I213" s="104"/>
      <c r="J213" s="129"/>
      <c r="K213" s="896"/>
      <c r="L213" s="130"/>
      <c r="O213" s="17" t="s">
        <v>2342</v>
      </c>
    </row>
    <row r="214" ht="24.75" customHeight="1">
      <c r="A214" s="129"/>
      <c r="B214" s="113"/>
      <c r="C214" s="106"/>
      <c r="D214" s="106"/>
      <c r="E214" s="127"/>
      <c r="F214" s="113"/>
      <c r="G214" s="128"/>
      <c r="H214" s="129"/>
      <c r="I214" s="104"/>
      <c r="J214" s="129"/>
      <c r="K214" s="896"/>
      <c r="L214" s="130"/>
      <c r="O214" s="17" t="s">
        <v>2229</v>
      </c>
    </row>
    <row r="215" ht="24.75" customHeight="1">
      <c r="A215" s="129"/>
      <c r="B215" s="113"/>
      <c r="C215" s="106"/>
      <c r="D215" s="106"/>
      <c r="E215" s="127"/>
      <c r="F215" s="113"/>
      <c r="G215" s="128"/>
      <c r="H215" s="129"/>
      <c r="I215" s="104"/>
      <c r="J215" s="129"/>
      <c r="K215" s="896"/>
      <c r="L215" s="130"/>
      <c r="O215" s="17" t="s">
        <v>2179</v>
      </c>
    </row>
    <row r="216" ht="24.75" customHeight="1">
      <c r="A216" s="129"/>
      <c r="B216" s="113"/>
      <c r="C216" s="106"/>
      <c r="D216" s="106"/>
      <c r="E216" s="127"/>
      <c r="F216" s="113"/>
      <c r="G216" s="128"/>
      <c r="H216" s="129"/>
      <c r="I216" s="104"/>
      <c r="J216" s="129"/>
      <c r="K216" s="896"/>
      <c r="L216" s="130"/>
      <c r="O216" s="17" t="s">
        <v>2232</v>
      </c>
    </row>
    <row r="217" ht="24.75" customHeight="1">
      <c r="A217" s="129"/>
      <c r="B217" s="113"/>
      <c r="C217" s="106"/>
      <c r="D217" s="106"/>
      <c r="E217" s="127"/>
      <c r="F217" s="113"/>
      <c r="G217" s="128"/>
      <c r="H217" s="129"/>
      <c r="I217" s="104"/>
      <c r="J217" s="129"/>
      <c r="K217" s="896"/>
      <c r="L217" s="130"/>
      <c r="O217" s="17" t="s">
        <v>2235</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EC-AC14" error="室用途（大分類）に不正な値が入力されています。選択項目から選択してください。" type="list" errorStyle="warning">
      <formula1>data!$E$2:$E$11</formula1>
    </dataValidation>
    <dataValidation sqref="D11:D1010" showErrorMessage="1" showInputMessage="1" allowBlank="1" errorTitle="EC-AC15"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2343</v>
      </c>
      <c r="N1" s="30" t="s">
        <v>2344</v>
      </c>
    </row>
    <row r="2" ht="28.25" customHeight="1" s="93" customFormat="1">
      <c r="D2" s="92"/>
      <c r="F2" s="829"/>
      <c r="G2" s="94"/>
      <c r="H2" s="94"/>
      <c r="I2" s="92" t="s">
        <v>2345</v>
      </c>
      <c r="M2" s="93" t="s">
        <v>2125</v>
      </c>
      <c r="N2" s="93" t="s">
        <v>2346</v>
      </c>
    </row>
    <row r="3" s="38" customFormat="1">
      <c r="A3" s="224" t="s">
        <v>2100</v>
      </c>
      <c r="B3" s="225" t="s">
        <v>2103</v>
      </c>
      <c r="C3" s="226" t="s">
        <v>2106</v>
      </c>
      <c r="D3" s="564" t="s">
        <v>2109</v>
      </c>
      <c r="E3" s="566" t="s">
        <v>2116</v>
      </c>
      <c r="F3" s="820" t="s">
        <v>2119</v>
      </c>
      <c r="G3" s="227" t="s">
        <v>2122</v>
      </c>
      <c r="H3" s="855" t="s">
        <v>2128</v>
      </c>
      <c r="I3" s="226" t="s">
        <v>2131</v>
      </c>
      <c r="M3" s="38" t="s">
        <v>2347</v>
      </c>
      <c r="N3" s="38" t="s">
        <v>2348</v>
      </c>
    </row>
    <row r="4" ht="10.25" customHeight="1" s="32" customFormat="1">
      <c r="A4" s="228"/>
      <c r="B4" s="229"/>
      <c r="C4" s="230"/>
      <c r="D4" s="231"/>
      <c r="E4" s="232"/>
      <c r="F4" s="830"/>
      <c r="G4" s="233"/>
      <c r="H4" s="856"/>
      <c r="I4" s="230"/>
      <c r="M4" s="32" t="s">
        <v>2349</v>
      </c>
      <c r="N4" s="32" t="s">
        <v>2350</v>
      </c>
    </row>
    <row r="5" s="32" customFormat="1">
      <c r="A5" s="223" t="s">
        <v>2351</v>
      </c>
      <c r="B5" s="234" t="s">
        <v>2352</v>
      </c>
      <c r="C5" s="235" t="s">
        <v>2353</v>
      </c>
      <c r="D5" s="565" t="s">
        <v>2354</v>
      </c>
      <c r="E5" s="567" t="s">
        <v>2355</v>
      </c>
      <c r="F5" s="821" t="s">
        <v>2356</v>
      </c>
      <c r="G5" s="238" t="s">
        <v>2357</v>
      </c>
      <c r="H5" s="857" t="s">
        <v>2358</v>
      </c>
      <c r="I5" s="235" t="s">
        <v>2158</v>
      </c>
      <c r="M5" s="32" t="s">
        <v>2359</v>
      </c>
      <c r="N5" s="32" t="s">
        <v>2360</v>
      </c>
    </row>
    <row r="6" ht="19.5" customHeight="1" s="32" customFormat="1">
      <c r="A6" s="228"/>
      <c r="B6" s="229"/>
      <c r="C6" s="235"/>
      <c r="D6" s="236"/>
      <c r="E6" s="232"/>
      <c r="F6" s="830"/>
      <c r="G6" s="233"/>
      <c r="H6" s="856"/>
      <c r="I6" s="235"/>
      <c r="M6" s="32" t="s">
        <v>2361</v>
      </c>
      <c r="N6" s="32" t="s">
        <v>2362</v>
      </c>
    </row>
    <row r="7" ht="6.75" customHeight="1" s="32" customFormat="1">
      <c r="A7" s="228"/>
      <c r="B7" s="229"/>
      <c r="C7" s="230"/>
      <c r="D7" s="231"/>
      <c r="E7" s="232"/>
      <c r="F7" s="830"/>
      <c r="G7" s="233"/>
      <c r="H7" s="856"/>
      <c r="I7" s="230"/>
      <c r="M7" s="32" t="s">
        <v>2363</v>
      </c>
      <c r="N7" s="32" t="s">
        <v>2364</v>
      </c>
    </row>
    <row r="8" ht="12" customHeight="1" s="32" customFormat="1">
      <c r="A8" s="223"/>
      <c r="B8" s="239"/>
      <c r="C8" s="235" t="s">
        <v>2365</v>
      </c>
      <c r="D8" s="236"/>
      <c r="E8" s="237"/>
      <c r="F8" s="822" t="s">
        <v>2366</v>
      </c>
      <c r="G8" s="238" t="s">
        <v>2367</v>
      </c>
      <c r="H8" s="857" t="s">
        <v>2368</v>
      </c>
      <c r="I8" s="235"/>
      <c r="M8" s="32" t="s">
        <v>2369</v>
      </c>
      <c r="N8" s="32" t="s">
        <v>2370</v>
      </c>
    </row>
    <row r="9" ht="12" customHeight="1" s="32" customFormat="1">
      <c r="A9" s="223"/>
      <c r="B9" s="234" t="s">
        <v>2163</v>
      </c>
      <c r="C9" s="235"/>
      <c r="D9" s="236" t="s">
        <v>2163</v>
      </c>
      <c r="E9" s="237" t="s">
        <v>2163</v>
      </c>
      <c r="F9" s="822"/>
      <c r="G9" s="238"/>
      <c r="H9" s="857"/>
      <c r="I9" s="235"/>
      <c r="M9" s="32" t="s">
        <v>2371</v>
      </c>
      <c r="N9" s="32" t="s">
        <v>2372</v>
      </c>
    </row>
    <row r="10" ht="7.5" customHeight="1" s="39" customFormat="1">
      <c r="A10" s="240"/>
      <c r="B10" s="241"/>
      <c r="C10" s="242"/>
      <c r="D10" s="243"/>
      <c r="E10" s="244"/>
      <c r="F10" s="823"/>
      <c r="G10" s="824"/>
      <c r="H10" s="858"/>
      <c r="I10" s="242"/>
      <c r="M10" s="607" t="s">
        <v>2373</v>
      </c>
      <c r="N10" s="607" t="s">
        <v>2374</v>
      </c>
    </row>
    <row r="11" ht="13.5" customHeight="1">
      <c r="A11" s="614" t="s">
        <v>2375</v>
      </c>
      <c r="B11" s="615" t="s">
        <v>2376</v>
      </c>
      <c r="C11" s="138" t="s">
        <v>2173</v>
      </c>
      <c r="D11" s="422"/>
      <c r="E11" s="423" t="s">
        <v>2377</v>
      </c>
      <c r="F11" s="831"/>
      <c r="G11" s="825"/>
      <c r="H11" s="138" t="s">
        <v>2173</v>
      </c>
      <c r="I11" s="138"/>
      <c r="K11" s="31">
        <f>IF(A11="","",MAX(K$10:K10)+1)</f>
        <v/>
      </c>
      <c r="L11" s="31">
        <f>IFERROR(INDEX($A$11:$A$99922,MATCH(ROW()-10,$K$11:$K$99922,0)),"")</f>
        <v/>
      </c>
      <c r="M11" s="608" t="s">
        <v>2378</v>
      </c>
      <c r="N11" s="608" t="s">
        <v>2379</v>
      </c>
    </row>
    <row r="12">
      <c r="A12" s="139"/>
      <c r="B12" s="140"/>
      <c r="C12" s="141"/>
      <c r="D12" s="588" t="s">
        <v>2380</v>
      </c>
      <c r="E12" s="561" t="s">
        <v>2381</v>
      </c>
      <c r="F12" s="832" t="s">
        <v>2173</v>
      </c>
      <c r="G12" s="826" t="s">
        <v>2382</v>
      </c>
      <c r="H12" s="141"/>
      <c r="I12" s="141" t="s">
        <v>2173</v>
      </c>
      <c r="K12" s="31">
        <f>IF(A12="","",MAX(K$10:K11)+1)</f>
        <v/>
      </c>
      <c r="L12" s="31">
        <f>IFERROR(INDEX($A$11:$A$99922,MATCH(ROW()-10,$K$11:$K$99922,0)),"")</f>
        <v/>
      </c>
      <c r="M12" s="608" t="s">
        <v>2383</v>
      </c>
      <c r="N12" s="608" t="s">
        <v>2384</v>
      </c>
    </row>
    <row r="13">
      <c r="A13" s="139"/>
      <c r="B13" s="140"/>
      <c r="C13" s="141"/>
      <c r="D13" s="588" t="s">
        <v>2385</v>
      </c>
      <c r="E13" s="561" t="s">
        <v>2386</v>
      </c>
      <c r="F13" s="832" t="s">
        <v>2173</v>
      </c>
      <c r="G13" s="826" t="s">
        <v>2387</v>
      </c>
      <c r="H13" s="141"/>
      <c r="I13" s="141" t="s">
        <v>2173</v>
      </c>
      <c r="K13" s="31">
        <f>IF(A13="","",MAX(K$10:K12)+1)</f>
        <v/>
      </c>
      <c r="L13" s="31">
        <f>IFERROR(INDEX($A$11:$A$99922,MATCH(ROW()-10,$K$11:$K$99922,0)),"")</f>
        <v/>
      </c>
      <c r="M13" s="608" t="s">
        <v>2388</v>
      </c>
      <c r="N13" s="608" t="s">
        <v>2389</v>
      </c>
    </row>
    <row r="14">
      <c r="A14" s="139"/>
      <c r="B14" s="140"/>
      <c r="C14" s="141"/>
      <c r="D14" s="588" t="s">
        <v>2390</v>
      </c>
      <c r="E14" s="561" t="s">
        <v>2391</v>
      </c>
      <c r="F14" s="832" t="s">
        <v>2173</v>
      </c>
      <c r="G14" s="826" t="s">
        <v>2392</v>
      </c>
      <c r="H14" s="141"/>
      <c r="I14" s="141" t="s">
        <v>2173</v>
      </c>
      <c r="K14" s="31">
        <f>IF(A14="","",MAX(K$10:K13)+1)</f>
        <v/>
      </c>
      <c r="L14" s="31">
        <f>IFERROR(INDEX($A$11:$A$99922,MATCH(ROW()-10,$K$11:$K$99922,0)),"")</f>
        <v/>
      </c>
      <c r="M14" s="608" t="s">
        <v>2393</v>
      </c>
      <c r="N14" s="608" t="s">
        <v>2394</v>
      </c>
    </row>
    <row r="15">
      <c r="A15" s="139"/>
      <c r="B15" s="140"/>
      <c r="C15" s="141"/>
      <c r="D15" s="588" t="s">
        <v>2373</v>
      </c>
      <c r="E15" s="561" t="s">
        <v>2374</v>
      </c>
      <c r="F15" s="832" t="s">
        <v>2173</v>
      </c>
      <c r="G15" s="826" t="s">
        <v>2395</v>
      </c>
      <c r="H15" s="141"/>
      <c r="I15" s="141" t="s">
        <v>2173</v>
      </c>
      <c r="K15" s="31">
        <f>IF(A15="","",MAX(K$10:K14)+1)</f>
        <v/>
      </c>
      <c r="L15" s="31">
        <f>IFERROR(INDEX($A$11:$A$99922,MATCH(ROW()-10,$K$11:$K$99922,0)),"")</f>
        <v/>
      </c>
      <c r="M15" s="608" t="s">
        <v>2396</v>
      </c>
      <c r="N15" s="608" t="s">
        <v>2397</v>
      </c>
    </row>
    <row r="16">
      <c r="A16" s="139"/>
      <c r="B16" s="140"/>
      <c r="C16" s="141"/>
      <c r="D16" s="588" t="s">
        <v>2398</v>
      </c>
      <c r="E16" s="561" t="s">
        <v>2399</v>
      </c>
      <c r="F16" s="832" t="s">
        <v>2173</v>
      </c>
      <c r="G16" s="826" t="s">
        <v>2400</v>
      </c>
      <c r="H16" s="141"/>
      <c r="I16" s="141" t="s">
        <v>2173</v>
      </c>
      <c r="K16" s="31">
        <f>IF(A16="","",MAX(K$10:K15)+1)</f>
        <v/>
      </c>
      <c r="L16" s="31">
        <f>IFERROR(INDEX($A$11:$A$99922,MATCH(ROW()-10,$K$11:$K$99922,0)),"")</f>
        <v/>
      </c>
      <c r="M16" s="608" t="s">
        <v>2380</v>
      </c>
      <c r="N16" s="608" t="s">
        <v>2381</v>
      </c>
    </row>
    <row r="17">
      <c r="A17" s="139"/>
      <c r="B17" s="140"/>
      <c r="C17" s="141"/>
      <c r="D17" s="588"/>
      <c r="E17" s="561"/>
      <c r="F17" s="832"/>
      <c r="G17" s="826"/>
      <c r="H17" s="141"/>
      <c r="I17" s="141"/>
      <c r="K17" s="31">
        <f>IF(A17="","",MAX(K$10:K16)+1)</f>
        <v/>
      </c>
      <c r="L17" s="31">
        <f>IFERROR(INDEX($A$11:$A$99922,MATCH(ROW()-10,$K$11:$K$99922,0)),"")</f>
        <v/>
      </c>
      <c r="M17" s="608" t="s">
        <v>2401</v>
      </c>
      <c r="N17" s="608" t="s">
        <v>2402</v>
      </c>
    </row>
    <row r="18">
      <c r="A18" s="139"/>
      <c r="B18" s="140"/>
      <c r="C18" s="141"/>
      <c r="D18" s="588"/>
      <c r="E18" s="561"/>
      <c r="F18" s="832"/>
      <c r="G18" s="826"/>
      <c r="H18" s="141"/>
      <c r="I18" s="141"/>
      <c r="K18" s="31">
        <f>IF(A18="","",MAX(K$10:K17)+1)</f>
        <v/>
      </c>
      <c r="L18" s="31">
        <f>IFERROR(INDEX($A$11:$A$99922,MATCH(ROW()-10,$K$11:$K$99922,0)),"")</f>
        <v/>
      </c>
      <c r="M18" s="608" t="s">
        <v>2403</v>
      </c>
      <c r="N18" s="608" t="s">
        <v>2404</v>
      </c>
    </row>
    <row r="19">
      <c r="A19" s="139"/>
      <c r="B19" s="140"/>
      <c r="C19" s="141"/>
      <c r="D19" s="588"/>
      <c r="E19" s="561"/>
      <c r="F19" s="832"/>
      <c r="G19" s="826"/>
      <c r="H19" s="141"/>
      <c r="I19" s="141"/>
      <c r="K19" s="31">
        <f>IF(A19="","",MAX(K$10:K18)+1)</f>
        <v/>
      </c>
      <c r="L19" s="31">
        <f>IFERROR(INDEX($A$11:$A$99922,MATCH(ROW()-10,$K$11:$K$99922,0)),"")</f>
        <v/>
      </c>
      <c r="M19" s="608" t="s">
        <v>2405</v>
      </c>
      <c r="N19" s="608" t="s">
        <v>2406</v>
      </c>
    </row>
    <row r="20">
      <c r="A20" s="139"/>
      <c r="B20" s="140"/>
      <c r="C20" s="141"/>
      <c r="D20" s="588"/>
      <c r="E20" s="561"/>
      <c r="F20" s="832"/>
      <c r="G20" s="826"/>
      <c r="H20" s="141"/>
      <c r="I20" s="141"/>
      <c r="K20" s="31">
        <f>IF(A20="","",MAX(K$10:K19)+1)</f>
        <v/>
      </c>
      <c r="L20" s="31">
        <f>IFERROR(INDEX($A$11:$A$99922,MATCH(ROW()-10,$K$11:$K$99922,0)),"")</f>
        <v/>
      </c>
      <c r="M20" s="608" t="s">
        <v>2407</v>
      </c>
      <c r="N20" s="608" t="s">
        <v>2408</v>
      </c>
    </row>
    <row r="21">
      <c r="A21" s="142"/>
      <c r="B21" s="143"/>
      <c r="C21" s="144"/>
      <c r="D21" s="424"/>
      <c r="E21" s="425" t="s">
        <v>2409</v>
      </c>
      <c r="F21" s="833"/>
      <c r="G21" s="827"/>
      <c r="H21" s="144"/>
      <c r="I21" s="144"/>
      <c r="K21" s="31">
        <f>IF(A21="","",MAX(K$10:K20)+1)</f>
        <v/>
      </c>
      <c r="L21" s="31">
        <f>IFERROR(INDEX($A$11:$A$99922,MATCH(ROW()-10,$K$11:$K$99922,0)),"")</f>
        <v/>
      </c>
      <c r="M21" s="608" t="s">
        <v>2398</v>
      </c>
      <c r="N21" s="608" t="s">
        <v>2399</v>
      </c>
    </row>
    <row r="22">
      <c r="A22" s="616" t="s">
        <v>2410</v>
      </c>
      <c r="B22" s="617" t="s">
        <v>2376</v>
      </c>
      <c r="C22" s="618" t="s">
        <v>2173</v>
      </c>
      <c r="D22" s="426"/>
      <c r="E22" s="427" t="s">
        <v>2377</v>
      </c>
      <c r="F22" s="834"/>
      <c r="G22" s="828"/>
      <c r="H22" s="618" t="s">
        <v>2173</v>
      </c>
      <c r="I22" s="618"/>
      <c r="K22" s="31">
        <f>IF(A22="","",MAX(K$10:K21)+1)</f>
        <v/>
      </c>
      <c r="L22" s="31">
        <f>IFERROR(INDEX($A$11:$A$99922,MATCH(ROW()-10,$K$11:$K$99922,0)),"")</f>
        <v/>
      </c>
      <c r="M22" s="608" t="s">
        <v>2411</v>
      </c>
      <c r="N22" s="608" t="s">
        <v>2412</v>
      </c>
    </row>
    <row r="23">
      <c r="A23" s="139"/>
      <c r="B23" s="140"/>
      <c r="C23" s="141"/>
      <c r="D23" s="588" t="s">
        <v>2413</v>
      </c>
      <c r="E23" s="561" t="s">
        <v>2414</v>
      </c>
      <c r="F23" s="832" t="s">
        <v>2173</v>
      </c>
      <c r="G23" s="826" t="s">
        <v>2400</v>
      </c>
      <c r="H23" s="141"/>
      <c r="I23" s="141" t="s">
        <v>2173</v>
      </c>
      <c r="K23" s="31">
        <f>IF(A23="","",MAX(K$10:K22)+1)</f>
        <v/>
      </c>
      <c r="L23" s="31">
        <f>IFERROR(INDEX($A$11:$A$99922,MATCH(ROW()-10,$K$11:$K$99922,0)),"")</f>
        <v/>
      </c>
      <c r="M23" s="608" t="s">
        <v>2415</v>
      </c>
      <c r="N23" s="608" t="s">
        <v>2416</v>
      </c>
    </row>
    <row r="24">
      <c r="A24" s="139"/>
      <c r="B24" s="140"/>
      <c r="C24" s="141"/>
      <c r="D24" s="588" t="s">
        <v>2380</v>
      </c>
      <c r="E24" s="561" t="s">
        <v>2381</v>
      </c>
      <c r="F24" s="832" t="s">
        <v>2173</v>
      </c>
      <c r="G24" s="826" t="s">
        <v>2382</v>
      </c>
      <c r="H24" s="141"/>
      <c r="I24" s="141" t="s">
        <v>2173</v>
      </c>
      <c r="K24" s="31">
        <f>IF(A24="","",MAX(K$10:K23)+1)</f>
        <v/>
      </c>
      <c r="L24" s="31">
        <f>IFERROR(INDEX($A$11:$A$99922,MATCH(ROW()-10,$K$11:$K$99922,0)),"")</f>
        <v/>
      </c>
      <c r="M24" s="608" t="s">
        <v>2413</v>
      </c>
      <c r="N24" s="608" t="s">
        <v>2414</v>
      </c>
    </row>
    <row r="25">
      <c r="A25" s="139"/>
      <c r="B25" s="140"/>
      <c r="C25" s="141"/>
      <c r="D25" s="588" t="s">
        <v>2385</v>
      </c>
      <c r="E25" s="561" t="s">
        <v>2386</v>
      </c>
      <c r="F25" s="832" t="s">
        <v>2173</v>
      </c>
      <c r="G25" s="826" t="s">
        <v>2387</v>
      </c>
      <c r="H25" s="141"/>
      <c r="I25" s="141" t="s">
        <v>2173</v>
      </c>
      <c r="K25" s="31">
        <f>IF(A25="","",MAX(K$10:K24)+1)</f>
        <v/>
      </c>
      <c r="L25" s="31">
        <f>IFERROR(INDEX($A$11:$A$99922,MATCH(ROW()-10,$K$11:$K$99922,0)),"")</f>
        <v/>
      </c>
      <c r="M25" s="608" t="s">
        <v>2417</v>
      </c>
      <c r="N25" s="608" t="s">
        <v>2418</v>
      </c>
    </row>
    <row r="26">
      <c r="A26" s="139"/>
      <c r="B26" s="140"/>
      <c r="C26" s="141"/>
      <c r="D26" s="588" t="s">
        <v>2373</v>
      </c>
      <c r="E26" s="561" t="s">
        <v>2374</v>
      </c>
      <c r="F26" s="832" t="s">
        <v>2173</v>
      </c>
      <c r="G26" s="826" t="s">
        <v>2419</v>
      </c>
      <c r="H26" s="141"/>
      <c r="I26" s="141" t="s">
        <v>2173</v>
      </c>
      <c r="K26" s="31">
        <f>IF(A26="","",MAX(K$10:K25)+1)</f>
        <v/>
      </c>
      <c r="L26" s="31">
        <f>IFERROR(INDEX($A$11:$A$99922,MATCH(ROW()-10,$K$11:$K$99922,0)),"")</f>
        <v/>
      </c>
      <c r="M26" s="608" t="s">
        <v>2420</v>
      </c>
      <c r="N26" s="608" t="s">
        <v>2421</v>
      </c>
    </row>
    <row r="27">
      <c r="A27" s="139"/>
      <c r="B27" s="140"/>
      <c r="C27" s="141"/>
      <c r="D27" s="588" t="s">
        <v>2390</v>
      </c>
      <c r="E27" s="561" t="s">
        <v>2391</v>
      </c>
      <c r="F27" s="832" t="s">
        <v>2173</v>
      </c>
      <c r="G27" s="826" t="s">
        <v>2422</v>
      </c>
      <c r="H27" s="141"/>
      <c r="I27" s="141" t="s">
        <v>2173</v>
      </c>
      <c r="K27" s="31">
        <f>IF(A27="","",MAX(K$10:K26)+1)</f>
        <v/>
      </c>
      <c r="L27" s="31">
        <f>IFERROR(INDEX($A$11:$A$99922,MATCH(ROW()-10,$K$11:$K$99922,0)),"")</f>
        <v/>
      </c>
      <c r="M27" s="608" t="s">
        <v>2423</v>
      </c>
      <c r="N27" s="608" t="s">
        <v>2424</v>
      </c>
    </row>
    <row r="28">
      <c r="A28" s="139"/>
      <c r="B28" s="140"/>
      <c r="C28" s="141"/>
      <c r="D28" s="588" t="s">
        <v>2425</v>
      </c>
      <c r="E28" s="561" t="s">
        <v>2426</v>
      </c>
      <c r="F28" s="832" t="s">
        <v>2173</v>
      </c>
      <c r="G28" s="826" t="s">
        <v>2400</v>
      </c>
      <c r="H28" s="141"/>
      <c r="I28" s="141" t="s">
        <v>2173</v>
      </c>
      <c r="K28" s="31">
        <f>IF(A28="","",MAX(K$10:K27)+1)</f>
        <v/>
      </c>
      <c r="L28" s="31">
        <f>IFERROR(INDEX($A$11:$A$99922,MATCH(ROW()-10,$K$11:$K$99922,0)),"")</f>
        <v/>
      </c>
      <c r="M28" s="608" t="s">
        <v>2427</v>
      </c>
      <c r="N28" s="608" t="s">
        <v>2428</v>
      </c>
    </row>
    <row r="29">
      <c r="A29" s="139"/>
      <c r="B29" s="140"/>
      <c r="C29" s="141"/>
      <c r="D29" s="588" t="s">
        <v>2363</v>
      </c>
      <c r="E29" s="561" t="s">
        <v>2364</v>
      </c>
      <c r="F29" s="832" t="s">
        <v>2173</v>
      </c>
      <c r="G29" s="826" t="s">
        <v>2429</v>
      </c>
      <c r="H29" s="141"/>
      <c r="I29" s="141" t="s">
        <v>2430</v>
      </c>
      <c r="K29" s="31">
        <f>IF(A29="","",MAX(K$10:K28)+1)</f>
        <v/>
      </c>
      <c r="L29" s="31">
        <f>IFERROR(INDEX($A$11:$A$99922,MATCH(ROW()-10,$K$11:$K$99922,0)),"")</f>
        <v/>
      </c>
      <c r="M29" s="608" t="s">
        <v>2431</v>
      </c>
      <c r="N29" s="608" t="s">
        <v>2432</v>
      </c>
    </row>
    <row r="30">
      <c r="A30" s="139"/>
      <c r="B30" s="140"/>
      <c r="C30" s="141"/>
      <c r="D30" s="588"/>
      <c r="E30" s="561"/>
      <c r="F30" s="832"/>
      <c r="G30" s="826"/>
      <c r="H30" s="141"/>
      <c r="I30" s="141"/>
      <c r="K30" s="31">
        <f>IF(A30="","",MAX(K$10:K29)+1)</f>
        <v/>
      </c>
      <c r="L30" s="31">
        <f>IFERROR(INDEX($A$11:$A$99922,MATCH(ROW()-10,$K$11:$K$99922,0)),"")</f>
        <v/>
      </c>
      <c r="M30" s="608" t="s">
        <v>2433</v>
      </c>
      <c r="N30" s="608" t="s">
        <v>2434</v>
      </c>
    </row>
    <row r="31">
      <c r="A31" s="139"/>
      <c r="B31" s="140"/>
      <c r="C31" s="141"/>
      <c r="D31" s="588"/>
      <c r="E31" s="561"/>
      <c r="F31" s="832"/>
      <c r="G31" s="826"/>
      <c r="H31" s="141"/>
      <c r="I31" s="141"/>
      <c r="K31" s="31">
        <f>IF(A31="","",MAX(K$10:K30)+1)</f>
        <v/>
      </c>
      <c r="L31" s="31">
        <f>IFERROR(INDEX($A$11:$A$99922,MATCH(ROW()-10,$K$11:$K$99922,0)),"")</f>
        <v/>
      </c>
      <c r="M31" s="608" t="s">
        <v>2435</v>
      </c>
      <c r="N31" s="608" t="s">
        <v>2436</v>
      </c>
    </row>
    <row r="32">
      <c r="A32" s="142"/>
      <c r="B32" s="143"/>
      <c r="C32" s="144"/>
      <c r="D32" s="424"/>
      <c r="E32" s="425" t="s">
        <v>2409</v>
      </c>
      <c r="F32" s="833"/>
      <c r="G32" s="827"/>
      <c r="H32" s="144"/>
      <c r="I32" s="144"/>
      <c r="K32" s="31">
        <f>IF(A32="","",MAX(K$10:K31)+1)</f>
        <v/>
      </c>
      <c r="L32" s="31">
        <f>IFERROR(INDEX($A$11:$A$99922,MATCH(ROW()-10,$K$11:$K$99922,0)),"")</f>
        <v/>
      </c>
      <c r="M32" s="608" t="s">
        <v>2429</v>
      </c>
      <c r="N32" s="608" t="s">
        <v>2437</v>
      </c>
    </row>
    <row r="33">
      <c r="A33" s="616" t="s">
        <v>2438</v>
      </c>
      <c r="B33" s="617" t="s">
        <v>2439</v>
      </c>
      <c r="C33" s="618" t="s">
        <v>2173</v>
      </c>
      <c r="D33" s="426"/>
      <c r="E33" s="427" t="s">
        <v>2377</v>
      </c>
      <c r="F33" s="834"/>
      <c r="G33" s="828"/>
      <c r="H33" s="618" t="s">
        <v>2173</v>
      </c>
      <c r="I33" s="618"/>
      <c r="K33" s="31">
        <f>IF(A33="","",MAX(K$10:K32)+1)</f>
        <v/>
      </c>
      <c r="L33" s="31">
        <f>IFERROR(INDEX($A$11:$A$99922,MATCH(ROW()-10,$K$11:$K$99922,0)),"")</f>
        <v/>
      </c>
      <c r="M33" s="608" t="s">
        <v>2440</v>
      </c>
      <c r="N33" s="608" t="s">
        <v>2441</v>
      </c>
    </row>
    <row r="34">
      <c r="A34" s="139"/>
      <c r="B34" s="140"/>
      <c r="C34" s="141"/>
      <c r="D34" s="588" t="s">
        <v>2442</v>
      </c>
      <c r="E34" s="561" t="s">
        <v>2443</v>
      </c>
      <c r="F34" s="832" t="s">
        <v>2173</v>
      </c>
      <c r="G34" s="826" t="s">
        <v>2347</v>
      </c>
      <c r="H34" s="141"/>
      <c r="I34" s="141" t="s">
        <v>2173</v>
      </c>
      <c r="K34" s="31">
        <f>IF(A34="","",MAX(K$10:K33)+1)</f>
        <v/>
      </c>
      <c r="L34" s="31">
        <f>IFERROR(INDEX($A$11:$A$99922,MATCH(ROW()-10,$K$11:$K$99922,0)),"")</f>
        <v/>
      </c>
      <c r="M34" s="608" t="s">
        <v>2444</v>
      </c>
      <c r="N34" s="608" t="s">
        <v>2445</v>
      </c>
    </row>
    <row r="35">
      <c r="A35" s="139"/>
      <c r="B35" s="140"/>
      <c r="C35" s="141"/>
      <c r="D35" s="588" t="s">
        <v>2125</v>
      </c>
      <c r="E35" s="561" t="s">
        <v>2346</v>
      </c>
      <c r="F35" s="832" t="s">
        <v>2173</v>
      </c>
      <c r="G35" s="826" t="s">
        <v>2400</v>
      </c>
      <c r="H35" s="141"/>
      <c r="I35" s="141" t="s">
        <v>2173</v>
      </c>
      <c r="K35" s="31">
        <f>IF(A35="","",MAX(K$10:K34)+1)</f>
        <v/>
      </c>
      <c r="L35" s="31">
        <f>IFERROR(INDEX($A$11:$A$99922,MATCH(ROW()-10,$K$11:$K$99922,0)),"")</f>
        <v/>
      </c>
      <c r="M35" s="608" t="s">
        <v>2446</v>
      </c>
      <c r="N35" s="608" t="s">
        <v>2447</v>
      </c>
    </row>
    <row r="36">
      <c r="A36" s="139"/>
      <c r="B36" s="140"/>
      <c r="C36" s="141"/>
      <c r="D36" s="588" t="s">
        <v>2385</v>
      </c>
      <c r="E36" s="561" t="s">
        <v>2386</v>
      </c>
      <c r="F36" s="832" t="s">
        <v>2173</v>
      </c>
      <c r="G36" s="826" t="s">
        <v>2387</v>
      </c>
      <c r="H36" s="141"/>
      <c r="I36" s="141" t="s">
        <v>2173</v>
      </c>
      <c r="K36" s="31">
        <f>IF(A36="","",MAX(K$10:K35)+1)</f>
        <v/>
      </c>
      <c r="L36" s="31">
        <f>IFERROR(INDEX($A$11:$A$99922,MATCH(ROW()-10,$K$11:$K$99922,0)),"")</f>
        <v/>
      </c>
      <c r="M36" s="608" t="s">
        <v>2448</v>
      </c>
      <c r="N36" s="608" t="s">
        <v>2449</v>
      </c>
    </row>
    <row r="37">
      <c r="A37" s="139"/>
      <c r="B37" s="140"/>
      <c r="C37" s="141"/>
      <c r="D37" s="588" t="s">
        <v>2363</v>
      </c>
      <c r="E37" s="561" t="s">
        <v>2364</v>
      </c>
      <c r="F37" s="832" t="s">
        <v>2173</v>
      </c>
      <c r="G37" s="826" t="s">
        <v>2450</v>
      </c>
      <c r="H37" s="141"/>
      <c r="I37" s="141" t="s">
        <v>2430</v>
      </c>
      <c r="K37" s="31">
        <f>IF(A37="","",MAX(K$10:K36)+1)</f>
        <v/>
      </c>
      <c r="L37" s="31">
        <f>IFERROR(INDEX($A$11:$A$99922,MATCH(ROW()-10,$K$11:$K$99922,0)),"")</f>
        <v/>
      </c>
      <c r="M37" s="608" t="s">
        <v>2451</v>
      </c>
      <c r="N37" s="608" t="s">
        <v>2452</v>
      </c>
    </row>
    <row r="38">
      <c r="A38" s="139"/>
      <c r="B38" s="140"/>
      <c r="C38" s="141"/>
      <c r="D38" s="588"/>
      <c r="E38" s="561"/>
      <c r="F38" s="832"/>
      <c r="G38" s="826"/>
      <c r="H38" s="141"/>
      <c r="I38" s="141"/>
      <c r="K38" s="31">
        <f>IF(A38="","",MAX(K$10:K37)+1)</f>
        <v/>
      </c>
      <c r="L38" s="31">
        <f>IFERROR(INDEX($A$11:$A$99922,MATCH(ROW()-10,$K$11:$K$99922,0)),"")</f>
        <v/>
      </c>
      <c r="M38" s="608" t="s">
        <v>2453</v>
      </c>
      <c r="N38" s="608" t="s">
        <v>2454</v>
      </c>
    </row>
    <row r="39">
      <c r="A39" s="139"/>
      <c r="B39" s="140"/>
      <c r="C39" s="141"/>
      <c r="D39" s="588"/>
      <c r="E39" s="561"/>
      <c r="F39" s="832"/>
      <c r="G39" s="826"/>
      <c r="H39" s="141"/>
      <c r="I39" s="141"/>
      <c r="K39" s="31">
        <f>IF(A39="","",MAX(K$10:K38)+1)</f>
        <v/>
      </c>
      <c r="L39" s="31">
        <f>IFERROR(INDEX($A$11:$A$99922,MATCH(ROW()-10,$K$11:$K$99922,0)),"")</f>
        <v/>
      </c>
      <c r="M39" s="608" t="s">
        <v>2455</v>
      </c>
      <c r="N39" s="608" t="s">
        <v>2456</v>
      </c>
    </row>
    <row r="40">
      <c r="A40" s="139"/>
      <c r="B40" s="140"/>
      <c r="C40" s="141"/>
      <c r="D40" s="588"/>
      <c r="E40" s="561"/>
      <c r="F40" s="832"/>
      <c r="G40" s="826"/>
      <c r="H40" s="141"/>
      <c r="I40" s="141"/>
      <c r="K40" s="31">
        <f>IF(A40="","",MAX(K$10:K39)+1)</f>
        <v/>
      </c>
      <c r="L40" s="31">
        <f>IFERROR(INDEX($A$11:$A$99922,MATCH(ROW()-10,$K$11:$K$99922,0)),"")</f>
        <v/>
      </c>
      <c r="M40" s="608" t="s">
        <v>2425</v>
      </c>
      <c r="N40" s="608" t="s">
        <v>2426</v>
      </c>
    </row>
    <row r="41">
      <c r="A41" s="139"/>
      <c r="B41" s="140"/>
      <c r="C41" s="141"/>
      <c r="D41" s="588"/>
      <c r="E41" s="561"/>
      <c r="F41" s="832"/>
      <c r="G41" s="826"/>
      <c r="H41" s="141"/>
      <c r="I41" s="141"/>
      <c r="K41" s="31">
        <f>IF(A41="","",MAX(K$10:K40)+1)</f>
        <v/>
      </c>
      <c r="L41" s="31">
        <f>IFERROR(INDEX($A$11:$A$99922,MATCH(ROW()-10,$K$11:$K$99922,0)),"")</f>
        <v/>
      </c>
      <c r="M41" s="608" t="s">
        <v>2457</v>
      </c>
      <c r="N41" s="608" t="s">
        <v>2458</v>
      </c>
    </row>
    <row r="42">
      <c r="A42" s="139"/>
      <c r="B42" s="140"/>
      <c r="C42" s="141"/>
      <c r="D42" s="588"/>
      <c r="E42" s="561"/>
      <c r="F42" s="832"/>
      <c r="G42" s="826"/>
      <c r="H42" s="141"/>
      <c r="I42" s="141"/>
      <c r="K42" s="31">
        <f>IF(A42="","",MAX(K$10:K41)+1)</f>
        <v/>
      </c>
      <c r="L42" s="31">
        <f>IFERROR(INDEX($A$11:$A$99922,MATCH(ROW()-10,$K$11:$K$99922,0)),"")</f>
        <v/>
      </c>
      <c r="M42" s="608" t="s">
        <v>2459</v>
      </c>
      <c r="N42" s="608" t="s">
        <v>2460</v>
      </c>
    </row>
    <row r="43">
      <c r="A43" s="142"/>
      <c r="B43" s="143"/>
      <c r="C43" s="144"/>
      <c r="D43" s="424"/>
      <c r="E43" s="425" t="s">
        <v>2409</v>
      </c>
      <c r="F43" s="833"/>
      <c r="G43" s="827"/>
      <c r="H43" s="144"/>
      <c r="I43" s="144"/>
      <c r="K43" s="31">
        <f>IF(A43="","",MAX(K$10:K42)+1)</f>
        <v/>
      </c>
      <c r="L43" s="31">
        <f>IFERROR(INDEX($A$11:$A$99922,MATCH(ROW()-10,$K$11:$K$99922,0)),"")</f>
        <v/>
      </c>
      <c r="M43" s="608" t="s">
        <v>2461</v>
      </c>
      <c r="N43" s="608" t="s">
        <v>2462</v>
      </c>
    </row>
    <row r="44">
      <c r="A44" s="562"/>
      <c r="B44" s="140"/>
      <c r="C44" s="141"/>
      <c r="D44" s="426"/>
      <c r="E44" s="427" t="s">
        <v>2377</v>
      </c>
      <c r="F44" s="834"/>
      <c r="G44" s="828"/>
      <c r="H44" s="141"/>
      <c r="I44" s="141"/>
      <c r="K44" s="31">
        <f>IF(A44="","",MAX(K$10:K43)+1)</f>
        <v/>
      </c>
      <c r="L44" s="31">
        <f>IFERROR(INDEX($A$11:$A$99922,MATCH(ROW()-10,$K$11:$K$99922,0)),"")</f>
        <v/>
      </c>
      <c r="M44" s="608" t="s">
        <v>2442</v>
      </c>
      <c r="N44" s="608" t="s">
        <v>2443</v>
      </c>
    </row>
    <row r="45">
      <c r="A45" s="139"/>
      <c r="B45" s="140"/>
      <c r="C45" s="141"/>
      <c r="D45" s="588"/>
      <c r="E45" s="561"/>
      <c r="F45" s="832"/>
      <c r="G45" s="826"/>
      <c r="H45" s="141"/>
      <c r="I45" s="141"/>
      <c r="K45" s="31">
        <f>IF(A45="","",MAX(K$10:K44)+1)</f>
        <v/>
      </c>
      <c r="L45" s="31">
        <f>IFERROR(INDEX($A$11:$A$99922,MATCH(ROW()-10,$K$11:$K$99922,0)),"")</f>
        <v/>
      </c>
      <c r="M45" s="608" t="s">
        <v>2463</v>
      </c>
      <c r="N45" s="608" t="s">
        <v>2464</v>
      </c>
    </row>
    <row r="46">
      <c r="A46" s="139"/>
      <c r="B46" s="140"/>
      <c r="C46" s="141"/>
      <c r="D46" s="588"/>
      <c r="E46" s="561"/>
      <c r="F46" s="832"/>
      <c r="G46" s="826"/>
      <c r="H46" s="141"/>
      <c r="I46" s="141"/>
      <c r="K46" s="31">
        <f>IF(A46="","",MAX(K$10:K45)+1)</f>
        <v/>
      </c>
      <c r="L46" s="31">
        <f>IFERROR(INDEX($A$11:$A$99922,MATCH(ROW()-10,$K$11:$K$99922,0)),"")</f>
        <v/>
      </c>
      <c r="M46" s="608" t="s">
        <v>2465</v>
      </c>
      <c r="N46" s="608" t="s">
        <v>2466</v>
      </c>
    </row>
    <row r="47">
      <c r="A47" s="139"/>
      <c r="B47" s="140"/>
      <c r="C47" s="141"/>
      <c r="D47" s="588"/>
      <c r="E47" s="561"/>
      <c r="F47" s="832"/>
      <c r="G47" s="826"/>
      <c r="H47" s="141"/>
      <c r="I47" s="141"/>
      <c r="K47" s="31">
        <f>IF(A47="","",MAX(K$10:K46)+1)</f>
        <v/>
      </c>
      <c r="L47" s="31">
        <f>IFERROR(INDEX($A$11:$A$99922,MATCH(ROW()-10,$K$11:$K$99922,0)),"")</f>
        <v/>
      </c>
      <c r="M47" s="608" t="s">
        <v>2467</v>
      </c>
      <c r="N47" s="608" t="s">
        <v>2468</v>
      </c>
    </row>
    <row r="48">
      <c r="A48" s="139"/>
      <c r="B48" s="140"/>
      <c r="C48" s="141"/>
      <c r="D48" s="588"/>
      <c r="E48" s="561"/>
      <c r="F48" s="832"/>
      <c r="G48" s="826"/>
      <c r="H48" s="141"/>
      <c r="I48" s="141"/>
      <c r="K48" s="31">
        <f>IF(A48="","",MAX(K$10:K47)+1)</f>
        <v/>
      </c>
      <c r="L48" s="31">
        <f>IFERROR(INDEX($A$11:$A$99922,MATCH(ROW()-10,$K$11:$K$99922,0)),"")</f>
        <v/>
      </c>
      <c r="M48" s="608" t="s">
        <v>2469</v>
      </c>
      <c r="N48" s="608" t="s">
        <v>2470</v>
      </c>
    </row>
    <row r="49">
      <c r="A49" s="139"/>
      <c r="B49" s="140"/>
      <c r="C49" s="141"/>
      <c r="D49" s="588"/>
      <c r="E49" s="561"/>
      <c r="F49" s="832"/>
      <c r="G49" s="826"/>
      <c r="H49" s="141"/>
      <c r="I49" s="141"/>
      <c r="K49" s="31">
        <f>IF(A49="","",MAX(K$10:K48)+1)</f>
        <v/>
      </c>
      <c r="L49" s="31">
        <f>IFERROR(INDEX($A$11:$A$99922,MATCH(ROW()-10,$K$11:$K$99922,0)),"")</f>
        <v/>
      </c>
      <c r="M49" s="608" t="s">
        <v>2471</v>
      </c>
      <c r="N49" s="608" t="s">
        <v>2472</v>
      </c>
    </row>
    <row r="50">
      <c r="A50" s="139"/>
      <c r="B50" s="140"/>
      <c r="C50" s="141"/>
      <c r="D50" s="588"/>
      <c r="E50" s="561"/>
      <c r="F50" s="832"/>
      <c r="G50" s="826"/>
      <c r="H50" s="141"/>
      <c r="I50" s="141"/>
      <c r="K50" s="31">
        <f>IF(A50="","",MAX(K$10:K49)+1)</f>
        <v/>
      </c>
      <c r="L50" s="31">
        <f>IFERROR(INDEX($A$11:$A$99922,MATCH(ROW()-10,$K$11:$K$99922,0)),"")</f>
        <v/>
      </c>
      <c r="M50" s="608" t="s">
        <v>2473</v>
      </c>
      <c r="N50" s="608" t="s">
        <v>2474</v>
      </c>
    </row>
    <row r="51">
      <c r="A51" s="139"/>
      <c r="B51" s="140"/>
      <c r="C51" s="141"/>
      <c r="D51" s="588"/>
      <c r="E51" s="561"/>
      <c r="F51" s="832"/>
      <c r="G51" s="826"/>
      <c r="H51" s="141"/>
      <c r="I51" s="141"/>
      <c r="K51" s="31">
        <f>IF(A51="","",MAX(K$10:K50)+1)</f>
        <v/>
      </c>
      <c r="L51" s="31">
        <f>IFERROR(INDEX($A$11:$A$99922,MATCH(ROW()-10,$K$11:$K$99922,0)),"")</f>
        <v/>
      </c>
      <c r="M51" s="608" t="s">
        <v>2475</v>
      </c>
      <c r="N51" s="608" t="s">
        <v>2476</v>
      </c>
    </row>
    <row r="52">
      <c r="A52" s="139"/>
      <c r="B52" s="140"/>
      <c r="C52" s="141"/>
      <c r="D52" s="588"/>
      <c r="E52" s="561"/>
      <c r="F52" s="832"/>
      <c r="G52" s="826"/>
      <c r="H52" s="141"/>
      <c r="I52" s="141"/>
      <c r="K52" s="31">
        <f>IF(A52="","",MAX(K$10:K51)+1)</f>
        <v/>
      </c>
      <c r="L52" s="31">
        <f>IFERROR(INDEX($A$11:$A$99922,MATCH(ROW()-10,$K$11:$K$99922,0)),"")</f>
        <v/>
      </c>
      <c r="M52" s="608" t="s">
        <v>2477</v>
      </c>
      <c r="N52" s="608" t="s">
        <v>2478</v>
      </c>
    </row>
    <row r="53">
      <c r="A53" s="139"/>
      <c r="B53" s="140"/>
      <c r="C53" s="141"/>
      <c r="D53" s="588"/>
      <c r="E53" s="561"/>
      <c r="F53" s="832"/>
      <c r="G53" s="826"/>
      <c r="H53" s="141"/>
      <c r="I53" s="141"/>
      <c r="K53" s="31">
        <f>IF(A53="","",MAX(K$10:K52)+1)</f>
        <v/>
      </c>
      <c r="L53" s="31">
        <f>IFERROR(INDEX($A$11:$A$99922,MATCH(ROW()-10,$K$11:$K$99922,0)),"")</f>
        <v/>
      </c>
      <c r="M53" s="608" t="s">
        <v>2479</v>
      </c>
      <c r="N53" s="608" t="s">
        <v>2480</v>
      </c>
    </row>
    <row r="54">
      <c r="A54" s="142"/>
      <c r="B54" s="143"/>
      <c r="C54" s="144"/>
      <c r="D54" s="424"/>
      <c r="E54" s="425" t="s">
        <v>2409</v>
      </c>
      <c r="F54" s="833"/>
      <c r="G54" s="827"/>
      <c r="H54" s="144"/>
      <c r="I54" s="144"/>
      <c r="K54" s="31">
        <f>IF(A54="","",MAX(K$10:K53)+1)</f>
        <v/>
      </c>
      <c r="L54" s="31">
        <f>IFERROR(INDEX($A$11:$A$99922,MATCH(ROW()-10,$K$11:$K$99922,0)),"")</f>
        <v/>
      </c>
      <c r="M54" s="608" t="s">
        <v>2481</v>
      </c>
      <c r="N54" s="608" t="s">
        <v>2482</v>
      </c>
    </row>
    <row r="55">
      <c r="A55" s="562"/>
      <c r="B55" s="140"/>
      <c r="C55" s="141"/>
      <c r="D55" s="426"/>
      <c r="E55" s="427" t="s">
        <v>2377</v>
      </c>
      <c r="F55" s="834"/>
      <c r="G55" s="828"/>
      <c r="H55" s="141"/>
      <c r="I55" s="141"/>
      <c r="K55" s="31">
        <f>IF(A55="","",MAX(K$10:K54)+1)</f>
        <v/>
      </c>
      <c r="L55" s="31">
        <f>IFERROR(INDEX($A$11:$A$99922,MATCH(ROW()-10,$K$11:$K$99922,0)),"")</f>
        <v/>
      </c>
      <c r="M55" s="608" t="s">
        <v>2483</v>
      </c>
      <c r="N55" s="608" t="s">
        <v>2484</v>
      </c>
    </row>
    <row r="56">
      <c r="A56" s="139"/>
      <c r="B56" s="140"/>
      <c r="C56" s="141"/>
      <c r="D56" s="588"/>
      <c r="E56" s="561"/>
      <c r="F56" s="832"/>
      <c r="G56" s="826"/>
      <c r="H56" s="141"/>
      <c r="I56" s="141"/>
      <c r="K56" s="31">
        <f>IF(A56="","",MAX(K$10:K55)+1)</f>
        <v/>
      </c>
      <c r="L56" s="31">
        <f>IFERROR(INDEX($A$11:$A$99922,MATCH(ROW()-10,$K$11:$K$99922,0)),"")</f>
        <v/>
      </c>
      <c r="M56" s="608" t="s">
        <v>2485</v>
      </c>
      <c r="N56" s="608" t="s">
        <v>2486</v>
      </c>
    </row>
    <row r="57">
      <c r="A57" s="139"/>
      <c r="B57" s="140"/>
      <c r="C57" s="141"/>
      <c r="D57" s="588"/>
      <c r="E57" s="561"/>
      <c r="F57" s="832"/>
      <c r="G57" s="826"/>
      <c r="H57" s="141"/>
      <c r="I57" s="141"/>
      <c r="K57" s="31">
        <f>IF(A57="","",MAX(K$10:K56)+1)</f>
        <v/>
      </c>
      <c r="L57" s="31">
        <f>IFERROR(INDEX($A$11:$A$99922,MATCH(ROW()-10,$K$11:$K$99922,0)),"")</f>
        <v/>
      </c>
      <c r="M57" s="608" t="s">
        <v>2487</v>
      </c>
      <c r="N57" s="608" t="s">
        <v>2488</v>
      </c>
    </row>
    <row r="58">
      <c r="A58" s="139"/>
      <c r="B58" s="140"/>
      <c r="C58" s="141"/>
      <c r="D58" s="588"/>
      <c r="E58" s="561"/>
      <c r="F58" s="832"/>
      <c r="G58" s="826"/>
      <c r="H58" s="141"/>
      <c r="I58" s="141"/>
      <c r="K58" s="31">
        <f>IF(A58="","",MAX(K$10:K57)+1)</f>
        <v/>
      </c>
      <c r="L58" s="31">
        <f>IFERROR(INDEX($A$11:$A$99922,MATCH(ROW()-10,$K$11:$K$99922,0)),"")</f>
        <v/>
      </c>
      <c r="M58" s="608" t="s">
        <v>2489</v>
      </c>
      <c r="N58" s="608" t="s">
        <v>2490</v>
      </c>
    </row>
    <row r="59">
      <c r="A59" s="139"/>
      <c r="B59" s="140"/>
      <c r="C59" s="141"/>
      <c r="D59" s="588"/>
      <c r="E59" s="561"/>
      <c r="F59" s="832"/>
      <c r="G59" s="826"/>
      <c r="H59" s="141"/>
      <c r="I59" s="141"/>
      <c r="K59" s="31">
        <f>IF(A59="","",MAX(K$10:K58)+1)</f>
        <v/>
      </c>
      <c r="L59" s="31">
        <f>IFERROR(INDEX($A$11:$A$99922,MATCH(ROW()-10,$K$11:$K$99922,0)),"")</f>
        <v/>
      </c>
      <c r="M59" s="608" t="s">
        <v>2491</v>
      </c>
      <c r="N59" s="608" t="s">
        <v>2492</v>
      </c>
    </row>
    <row r="60">
      <c r="A60" s="139"/>
      <c r="B60" s="140"/>
      <c r="C60" s="141"/>
      <c r="D60" s="588"/>
      <c r="E60" s="561"/>
      <c r="F60" s="832"/>
      <c r="G60" s="826"/>
      <c r="H60" s="141"/>
      <c r="I60" s="141"/>
      <c r="K60" s="31">
        <f>IF(A60="","",MAX(K$10:K59)+1)</f>
        <v/>
      </c>
      <c r="L60" s="31">
        <f>IFERROR(INDEX($A$11:$A$99922,MATCH(ROW()-10,$K$11:$K$99922,0)),"")</f>
        <v/>
      </c>
      <c r="M60" s="608" t="s">
        <v>2493</v>
      </c>
      <c r="N60" s="608" t="s">
        <v>2494</v>
      </c>
    </row>
    <row r="61">
      <c r="A61" s="139"/>
      <c r="B61" s="140"/>
      <c r="C61" s="141"/>
      <c r="D61" s="588"/>
      <c r="E61" s="561"/>
      <c r="F61" s="832"/>
      <c r="G61" s="826"/>
      <c r="H61" s="141"/>
      <c r="I61" s="141"/>
      <c r="K61" s="31">
        <f>IF(A61="","",MAX(K$10:K60)+1)</f>
        <v/>
      </c>
      <c r="L61" s="31">
        <f>IFERROR(INDEX($A$11:$A$99922,MATCH(ROW()-10,$K$11:$K$99922,0)),"")</f>
        <v/>
      </c>
      <c r="M61" s="608" t="s">
        <v>2495</v>
      </c>
      <c r="N61" s="608" t="s">
        <v>2496</v>
      </c>
    </row>
    <row r="62">
      <c r="A62" s="139"/>
      <c r="B62" s="140"/>
      <c r="C62" s="141"/>
      <c r="D62" s="588"/>
      <c r="E62" s="561"/>
      <c r="F62" s="832"/>
      <c r="G62" s="826"/>
      <c r="H62" s="141"/>
      <c r="I62" s="141"/>
      <c r="K62" s="31">
        <f>IF(A62="","",MAX(K$10:K61)+1)</f>
        <v/>
      </c>
      <c r="L62" s="31">
        <f>IFERROR(INDEX($A$11:$A$99922,MATCH(ROW()-10,$K$11:$K$99922,0)),"")</f>
        <v/>
      </c>
      <c r="M62" s="608" t="s">
        <v>2497</v>
      </c>
      <c r="N62" s="608" t="s">
        <v>2498</v>
      </c>
    </row>
    <row r="63">
      <c r="A63" s="139"/>
      <c r="B63" s="140"/>
      <c r="C63" s="141"/>
      <c r="D63" s="588"/>
      <c r="E63" s="561"/>
      <c r="F63" s="832"/>
      <c r="G63" s="826"/>
      <c r="H63" s="141"/>
      <c r="I63" s="141"/>
      <c r="K63" s="31">
        <f>IF(A63="","",MAX(K$10:K62)+1)</f>
        <v/>
      </c>
      <c r="L63" s="31">
        <f>IFERROR(INDEX($A$11:$A$99922,MATCH(ROW()-10,$K$11:$K$99922,0)),"")</f>
        <v/>
      </c>
      <c r="M63" s="608" t="s">
        <v>2499</v>
      </c>
      <c r="N63" s="608" t="s">
        <v>2500</v>
      </c>
    </row>
    <row r="64">
      <c r="A64" s="139"/>
      <c r="B64" s="140"/>
      <c r="C64" s="141"/>
      <c r="D64" s="588"/>
      <c r="E64" s="561"/>
      <c r="F64" s="832"/>
      <c r="G64" s="826"/>
      <c r="H64" s="141"/>
      <c r="I64" s="141"/>
      <c r="K64" s="31">
        <f>IF(A64="","",MAX(K$10:K63)+1)</f>
        <v/>
      </c>
      <c r="L64" s="31">
        <f>IFERROR(INDEX($A$11:$A$99922,MATCH(ROW()-10,$K$11:$K$99922,0)),"")</f>
        <v/>
      </c>
      <c r="M64" s="608" t="s">
        <v>2501</v>
      </c>
      <c r="N64" s="608" t="s">
        <v>2502</v>
      </c>
    </row>
    <row r="65">
      <c r="A65" s="142"/>
      <c r="B65" s="143"/>
      <c r="C65" s="144"/>
      <c r="D65" s="424"/>
      <c r="E65" s="425" t="s">
        <v>2409</v>
      </c>
      <c r="F65" s="833"/>
      <c r="G65" s="827"/>
      <c r="H65" s="144"/>
      <c r="I65" s="144"/>
      <c r="K65" s="31">
        <f>IF(A65="","",MAX(K$10:K64)+1)</f>
        <v/>
      </c>
      <c r="L65" s="31">
        <f>IFERROR(INDEX($A$11:$A$99922,MATCH(ROW()-10,$K$11:$K$99922,0)),"")</f>
        <v/>
      </c>
      <c r="M65" s="608" t="s">
        <v>2503</v>
      </c>
      <c r="N65" s="608" t="s">
        <v>2504</v>
      </c>
    </row>
    <row r="66">
      <c r="A66" s="562"/>
      <c r="B66" s="140"/>
      <c r="C66" s="141"/>
      <c r="D66" s="426"/>
      <c r="E66" s="427" t="s">
        <v>2377</v>
      </c>
      <c r="F66" s="834"/>
      <c r="G66" s="828"/>
      <c r="H66" s="141"/>
      <c r="I66" s="141"/>
      <c r="K66" s="31">
        <f>IF(A66="","",MAX(K$10:K65)+1)</f>
        <v/>
      </c>
      <c r="L66" s="31">
        <f>IFERROR(INDEX($A$11:$A$99922,MATCH(ROW()-10,$K$11:$K$99922,0)),"")</f>
        <v/>
      </c>
      <c r="M66" s="608" t="s">
        <v>2505</v>
      </c>
      <c r="N66" s="608" t="s">
        <v>2506</v>
      </c>
    </row>
    <row r="67">
      <c r="A67" s="139"/>
      <c r="B67" s="140"/>
      <c r="C67" s="141"/>
      <c r="D67" s="588"/>
      <c r="E67" s="561"/>
      <c r="F67" s="832"/>
      <c r="G67" s="826"/>
      <c r="H67" s="141"/>
      <c r="I67" s="141"/>
      <c r="K67" s="31">
        <f>IF(A67="","",MAX(K$10:K66)+1)</f>
        <v/>
      </c>
      <c r="L67" s="31">
        <f>IFERROR(INDEX($A$11:$A$99922,MATCH(ROW()-10,$K$11:$K$99922,0)),"")</f>
        <v/>
      </c>
      <c r="M67" s="608" t="s">
        <v>2507</v>
      </c>
      <c r="N67" s="608" t="s">
        <v>2508</v>
      </c>
    </row>
    <row r="68">
      <c r="A68" s="139"/>
      <c r="B68" s="140"/>
      <c r="C68" s="141"/>
      <c r="D68" s="588"/>
      <c r="E68" s="561"/>
      <c r="F68" s="832"/>
      <c r="G68" s="826"/>
      <c r="H68" s="141"/>
      <c r="I68" s="141"/>
      <c r="K68" s="31">
        <f>IF(A68="","",MAX(K$10:K67)+1)</f>
        <v/>
      </c>
      <c r="L68" s="31">
        <f>IFERROR(INDEX($A$11:$A$99922,MATCH(ROW()-10,$K$11:$K$99922,0)),"")</f>
        <v/>
      </c>
      <c r="M68" s="608" t="s">
        <v>2390</v>
      </c>
      <c r="N68" s="608" t="s">
        <v>2391</v>
      </c>
    </row>
    <row r="69">
      <c r="A69" s="139"/>
      <c r="B69" s="140"/>
      <c r="C69" s="141"/>
      <c r="D69" s="588"/>
      <c r="E69" s="561"/>
      <c r="F69" s="832"/>
      <c r="G69" s="826"/>
      <c r="H69" s="141"/>
      <c r="I69" s="141"/>
      <c r="K69" s="31">
        <f>IF(A69="","",MAX(K$10:K68)+1)</f>
        <v/>
      </c>
      <c r="L69" s="31">
        <f>IFERROR(INDEX($A$11:$A$99922,MATCH(ROW()-10,$K$11:$K$99922,0)),"")</f>
        <v/>
      </c>
      <c r="M69" s="608" t="s">
        <v>2509</v>
      </c>
      <c r="N69" s="608" t="s">
        <v>2510</v>
      </c>
    </row>
    <row r="70">
      <c r="A70" s="139"/>
      <c r="B70" s="140"/>
      <c r="C70" s="141"/>
      <c r="D70" s="588"/>
      <c r="E70" s="561"/>
      <c r="F70" s="832"/>
      <c r="G70" s="826"/>
      <c r="H70" s="141"/>
      <c r="I70" s="141"/>
      <c r="K70" s="31">
        <f>IF(A70="","",MAX(K$10:K69)+1)</f>
        <v/>
      </c>
      <c r="L70" s="31">
        <f>IFERROR(INDEX($A$11:$A$99922,MATCH(ROW()-10,$K$11:$K$99922,0)),"")</f>
        <v/>
      </c>
      <c r="M70" s="608" t="s">
        <v>2511</v>
      </c>
      <c r="N70" s="608" t="s">
        <v>2512</v>
      </c>
    </row>
    <row r="71">
      <c r="A71" s="139"/>
      <c r="B71" s="140"/>
      <c r="C71" s="141"/>
      <c r="D71" s="588"/>
      <c r="E71" s="561"/>
      <c r="F71" s="832"/>
      <c r="G71" s="826"/>
      <c r="H71" s="141"/>
      <c r="I71" s="141"/>
      <c r="K71" s="31">
        <f>IF(A71="","",MAX(K$10:K70)+1)</f>
        <v/>
      </c>
      <c r="L71" s="31">
        <f>IFERROR(INDEX($A$11:$A$99922,MATCH(ROW()-10,$K$11:$K$99922,0)),"")</f>
        <v/>
      </c>
      <c r="M71" s="608" t="s">
        <v>2513</v>
      </c>
      <c r="N71" s="608" t="s">
        <v>2514</v>
      </c>
    </row>
    <row r="72">
      <c r="A72" s="139"/>
      <c r="B72" s="140"/>
      <c r="C72" s="141"/>
      <c r="D72" s="588"/>
      <c r="E72" s="561"/>
      <c r="F72" s="832"/>
      <c r="G72" s="826"/>
      <c r="H72" s="141"/>
      <c r="I72" s="141"/>
      <c r="K72" s="31">
        <f>IF(A72="","",MAX(K$10:K71)+1)</f>
        <v/>
      </c>
      <c r="L72" s="31">
        <f>IFERROR(INDEX($A$11:$A$99922,MATCH(ROW()-10,$K$11:$K$99922,0)),"")</f>
        <v/>
      </c>
      <c r="M72" s="608" t="s">
        <v>2515</v>
      </c>
      <c r="N72" s="608" t="s">
        <v>2516</v>
      </c>
    </row>
    <row r="73">
      <c r="A73" s="139"/>
      <c r="B73" s="140"/>
      <c r="C73" s="141"/>
      <c r="D73" s="588"/>
      <c r="E73" s="561"/>
      <c r="F73" s="832"/>
      <c r="G73" s="826"/>
      <c r="H73" s="141"/>
      <c r="I73" s="141"/>
      <c r="K73" s="31">
        <f>IF(A73="","",MAX(K$10:K72)+1)</f>
        <v/>
      </c>
      <c r="L73" s="31">
        <f>IFERROR(INDEX($A$11:$A$99922,MATCH(ROW()-10,$K$11:$K$99922,0)),"")</f>
        <v/>
      </c>
      <c r="M73" s="608" t="s">
        <v>2517</v>
      </c>
      <c r="N73" s="608" t="s">
        <v>2518</v>
      </c>
    </row>
    <row r="74">
      <c r="A74" s="139"/>
      <c r="B74" s="140"/>
      <c r="C74" s="141"/>
      <c r="D74" s="588"/>
      <c r="E74" s="561"/>
      <c r="F74" s="832"/>
      <c r="G74" s="826"/>
      <c r="H74" s="141"/>
      <c r="I74" s="141"/>
      <c r="K74" s="31">
        <f>IF(A74="","",MAX(K$10:K73)+1)</f>
        <v/>
      </c>
      <c r="L74" s="31">
        <f>IFERROR(INDEX($A$11:$A$99922,MATCH(ROW()-10,$K$11:$K$99922,0)),"")</f>
        <v/>
      </c>
      <c r="M74" s="608" t="s">
        <v>2519</v>
      </c>
      <c r="N74" s="608" t="s">
        <v>2520</v>
      </c>
    </row>
    <row r="75">
      <c r="A75" s="139"/>
      <c r="B75" s="140"/>
      <c r="C75" s="141"/>
      <c r="D75" s="588"/>
      <c r="E75" s="561"/>
      <c r="F75" s="832"/>
      <c r="G75" s="826"/>
      <c r="H75" s="141"/>
      <c r="I75" s="141"/>
      <c r="K75" s="31">
        <f>IF(A75="","",MAX(K$10:K74)+1)</f>
        <v/>
      </c>
      <c r="L75" s="31">
        <f>IFERROR(INDEX($A$11:$A$99922,MATCH(ROW()-10,$K$11:$K$99922,0)),"")</f>
        <v/>
      </c>
      <c r="M75" s="608" t="s">
        <v>2521</v>
      </c>
      <c r="N75" s="608" t="s">
        <v>2522</v>
      </c>
    </row>
    <row r="76">
      <c r="A76" s="142"/>
      <c r="B76" s="143"/>
      <c r="C76" s="144"/>
      <c r="D76" s="424"/>
      <c r="E76" s="425" t="s">
        <v>2409</v>
      </c>
      <c r="F76" s="833"/>
      <c r="G76" s="827"/>
      <c r="H76" s="144"/>
      <c r="I76" s="144"/>
      <c r="K76" s="31">
        <f>IF(A76="","",MAX(K$10:K75)+1)</f>
        <v/>
      </c>
      <c r="L76" s="31">
        <f>IFERROR(INDEX($A$11:$A$99922,MATCH(ROW()-10,$K$11:$K$99922,0)),"")</f>
        <v/>
      </c>
      <c r="M76" s="608" t="s">
        <v>2523</v>
      </c>
      <c r="N76" s="608" t="s">
        <v>2524</v>
      </c>
    </row>
    <row r="77">
      <c r="A77" s="562"/>
      <c r="B77" s="140"/>
      <c r="C77" s="141"/>
      <c r="D77" s="426"/>
      <c r="E77" s="427" t="s">
        <v>2377</v>
      </c>
      <c r="F77" s="834"/>
      <c r="G77" s="828"/>
      <c r="H77" s="141"/>
      <c r="I77" s="141"/>
      <c r="K77" s="31">
        <f>IF(A77="","",MAX(K$10:K76)+1)</f>
        <v/>
      </c>
      <c r="L77" s="31">
        <f>IFERROR(INDEX($A$11:$A$99922,MATCH(ROW()-10,$K$11:$K$99922,0)),"")</f>
        <v/>
      </c>
      <c r="M77" s="608" t="s">
        <v>2525</v>
      </c>
      <c r="N77" s="608" t="s">
        <v>2526</v>
      </c>
    </row>
    <row r="78">
      <c r="A78" s="139"/>
      <c r="B78" s="140"/>
      <c r="C78" s="141"/>
      <c r="D78" s="588"/>
      <c r="E78" s="561"/>
      <c r="F78" s="832"/>
      <c r="G78" s="826"/>
      <c r="H78" s="141"/>
      <c r="I78" s="141"/>
      <c r="K78" s="31">
        <f>IF(A78="","",MAX(K$10:K77)+1)</f>
        <v/>
      </c>
      <c r="L78" s="31">
        <f>IFERROR(INDEX($A$11:$A$99922,MATCH(ROW()-10,$K$11:$K$99922,0)),"")</f>
        <v/>
      </c>
      <c r="M78" s="608" t="s">
        <v>2527</v>
      </c>
      <c r="N78" s="608" t="s">
        <v>2528</v>
      </c>
    </row>
    <row r="79">
      <c r="A79" s="139"/>
      <c r="B79" s="140"/>
      <c r="C79" s="141"/>
      <c r="D79" s="588"/>
      <c r="E79" s="561"/>
      <c r="F79" s="832"/>
      <c r="G79" s="826"/>
      <c r="H79" s="141"/>
      <c r="I79" s="141"/>
      <c r="K79" s="31">
        <f>IF(A79="","",MAX(K$10:K78)+1)</f>
        <v/>
      </c>
      <c r="L79" s="31">
        <f>IFERROR(INDEX($A$11:$A$99922,MATCH(ROW()-10,$K$11:$K$99922,0)),"")</f>
        <v/>
      </c>
      <c r="M79" s="608" t="s">
        <v>2529</v>
      </c>
      <c r="N79" s="608" t="s">
        <v>2530</v>
      </c>
    </row>
    <row r="80">
      <c r="A80" s="139"/>
      <c r="B80" s="140"/>
      <c r="C80" s="141"/>
      <c r="D80" s="588"/>
      <c r="E80" s="561"/>
      <c r="F80" s="832"/>
      <c r="G80" s="826"/>
      <c r="H80" s="141"/>
      <c r="I80" s="141"/>
      <c r="K80" s="31">
        <f>IF(A80="","",MAX(K$10:K79)+1)</f>
        <v/>
      </c>
      <c r="L80" s="31">
        <f>IFERROR(INDEX($A$11:$A$99922,MATCH(ROW()-10,$K$11:$K$99922,0)),"")</f>
        <v/>
      </c>
      <c r="M80" s="608" t="s">
        <v>2531</v>
      </c>
      <c r="N80" s="608" t="s">
        <v>2532</v>
      </c>
    </row>
    <row r="81">
      <c r="A81" s="139"/>
      <c r="B81" s="140"/>
      <c r="C81" s="141"/>
      <c r="D81" s="588"/>
      <c r="E81" s="561"/>
      <c r="F81" s="832"/>
      <c r="G81" s="826"/>
      <c r="H81" s="141"/>
      <c r="I81" s="141"/>
      <c r="K81" s="31">
        <f>IF(A81="","",MAX(K$10:K80)+1)</f>
        <v/>
      </c>
      <c r="L81" s="31">
        <f>IFERROR(INDEX($A$11:$A$99922,MATCH(ROW()-10,$K$11:$K$99922,0)),"")</f>
        <v/>
      </c>
      <c r="M81" s="608" t="s">
        <v>2533</v>
      </c>
      <c r="N81" s="608" t="s">
        <v>2534</v>
      </c>
    </row>
    <row r="82">
      <c r="A82" s="139"/>
      <c r="B82" s="140"/>
      <c r="C82" s="141"/>
      <c r="D82" s="588"/>
      <c r="E82" s="561"/>
      <c r="F82" s="832"/>
      <c r="G82" s="826"/>
      <c r="H82" s="141"/>
      <c r="I82" s="141"/>
      <c r="K82" s="31">
        <f>IF(A82="","",MAX(K$10:K81)+1)</f>
        <v/>
      </c>
      <c r="L82" s="31">
        <f>IFERROR(INDEX($A$11:$A$99922,MATCH(ROW()-10,$K$11:$K$99922,0)),"")</f>
        <v/>
      </c>
      <c r="M82" s="608" t="s">
        <v>2535</v>
      </c>
      <c r="N82" s="608" t="s">
        <v>2536</v>
      </c>
    </row>
    <row r="83">
      <c r="A83" s="139"/>
      <c r="B83" s="140"/>
      <c r="C83" s="141"/>
      <c r="D83" s="588"/>
      <c r="E83" s="561"/>
      <c r="F83" s="832"/>
      <c r="G83" s="826"/>
      <c r="H83" s="141"/>
      <c r="I83" s="141"/>
      <c r="K83" s="31">
        <f>IF(A83="","",MAX(K$10:K82)+1)</f>
        <v/>
      </c>
      <c r="L83" s="31">
        <f>IFERROR(INDEX($A$11:$A$99922,MATCH(ROW()-10,$K$11:$K$99922,0)),"")</f>
        <v/>
      </c>
      <c r="M83" s="608" t="s">
        <v>2537</v>
      </c>
      <c r="N83" s="608" t="s">
        <v>2538</v>
      </c>
    </row>
    <row r="84">
      <c r="A84" s="139"/>
      <c r="B84" s="140"/>
      <c r="C84" s="141"/>
      <c r="D84" s="588"/>
      <c r="E84" s="561"/>
      <c r="F84" s="832"/>
      <c r="G84" s="826"/>
      <c r="H84" s="141"/>
      <c r="I84" s="141"/>
      <c r="K84" s="31">
        <f>IF(A84="","",MAX(K$10:K83)+1)</f>
        <v/>
      </c>
      <c r="L84" s="31">
        <f>IFERROR(INDEX($A$11:$A$99922,MATCH(ROW()-10,$K$11:$K$99922,0)),"")</f>
        <v/>
      </c>
      <c r="M84" s="608" t="s">
        <v>2539</v>
      </c>
      <c r="N84" s="608" t="s">
        <v>2540</v>
      </c>
    </row>
    <row r="85">
      <c r="A85" s="139"/>
      <c r="B85" s="140"/>
      <c r="C85" s="141"/>
      <c r="D85" s="588"/>
      <c r="E85" s="561"/>
      <c r="F85" s="832"/>
      <c r="G85" s="826"/>
      <c r="H85" s="141"/>
      <c r="I85" s="141"/>
      <c r="K85" s="31">
        <f>IF(A85="","",MAX(K$10:K84)+1)</f>
        <v/>
      </c>
      <c r="L85" s="31">
        <f>IFERROR(INDEX($A$11:$A$99922,MATCH(ROW()-10,$K$11:$K$99922,0)),"")</f>
        <v/>
      </c>
      <c r="M85" s="608" t="s">
        <v>2385</v>
      </c>
      <c r="N85" s="608" t="s">
        <v>2386</v>
      </c>
    </row>
    <row r="86">
      <c r="A86" s="139"/>
      <c r="B86" s="140"/>
      <c r="C86" s="141"/>
      <c r="D86" s="588"/>
      <c r="E86" s="561"/>
      <c r="F86" s="832"/>
      <c r="G86" s="826"/>
      <c r="H86" s="141"/>
      <c r="I86" s="141"/>
      <c r="K86" s="31">
        <f>IF(A86="","",MAX(K$10:K85)+1)</f>
        <v/>
      </c>
      <c r="L86" s="31">
        <f>IFERROR(INDEX($A$11:$A$99922,MATCH(ROW()-10,$K$11:$K$99922,0)),"")</f>
        <v/>
      </c>
      <c r="M86" s="608">
        <v>189</v>
      </c>
      <c r="N86" s="608" t="s">
        <v>2524</v>
      </c>
    </row>
    <row r="87">
      <c r="A87" s="142"/>
      <c r="B87" s="143"/>
      <c r="C87" s="144"/>
      <c r="D87" s="424"/>
      <c r="E87" s="425" t="s">
        <v>2409</v>
      </c>
      <c r="F87" s="833"/>
      <c r="G87" s="827"/>
      <c r="H87" s="144"/>
      <c r="I87" s="144"/>
      <c r="K87" s="31">
        <f>IF(A87="","",MAX(K$10:K86)+1)</f>
        <v/>
      </c>
      <c r="L87" s="31">
        <f>IFERROR(INDEX($A$11:$A$99922,MATCH(ROW()-10,$K$11:$K$99922,0)),"")</f>
        <v/>
      </c>
      <c r="M87" s="608">
        <v>190</v>
      </c>
      <c r="N87" s="608" t="s">
        <v>2526</v>
      </c>
    </row>
    <row r="88">
      <c r="A88" s="562"/>
      <c r="B88" s="140"/>
      <c r="C88" s="141"/>
      <c r="D88" s="426"/>
      <c r="E88" s="427" t="s">
        <v>2377</v>
      </c>
      <c r="F88" s="834"/>
      <c r="G88" s="828"/>
      <c r="H88" s="141"/>
      <c r="I88" s="141"/>
      <c r="K88" s="31">
        <f>IF(A88="","",MAX(K$10:K87)+1)</f>
        <v/>
      </c>
      <c r="L88" s="31">
        <f>IFERROR(INDEX($A$11:$A$99922,MATCH(ROW()-10,$K$11:$K$99922,0)),"")</f>
        <v/>
      </c>
      <c r="M88" s="608">
        <v>201</v>
      </c>
      <c r="N88" s="608" t="s">
        <v>2528</v>
      </c>
    </row>
    <row r="89">
      <c r="A89" s="139"/>
      <c r="B89" s="140"/>
      <c r="C89" s="141"/>
      <c r="D89" s="588"/>
      <c r="E89" s="561"/>
      <c r="F89" s="832"/>
      <c r="G89" s="826"/>
      <c r="H89" s="141"/>
      <c r="I89" s="141"/>
      <c r="K89" s="31">
        <f>IF(A89="","",MAX(K$10:K88)+1)</f>
        <v/>
      </c>
      <c r="L89" s="31">
        <f>IFERROR(INDEX($A$11:$A$99922,MATCH(ROW()-10,$K$11:$K$99922,0)),"")</f>
        <v/>
      </c>
      <c r="M89" s="608">
        <v>202</v>
      </c>
      <c r="N89" s="608" t="s">
        <v>2530</v>
      </c>
    </row>
    <row r="90">
      <c r="A90" s="139"/>
      <c r="B90" s="140"/>
      <c r="C90" s="141"/>
      <c r="D90" s="588"/>
      <c r="E90" s="561"/>
      <c r="F90" s="832"/>
      <c r="G90" s="826"/>
      <c r="H90" s="141"/>
      <c r="I90" s="141"/>
      <c r="K90" s="31">
        <f>IF(A90="","",MAX(K$10:K89)+1)</f>
        <v/>
      </c>
      <c r="L90" s="31">
        <f>IFERROR(INDEX($A$11:$A$99922,MATCH(ROW()-10,$K$11:$K$99922,0)),"")</f>
        <v/>
      </c>
      <c r="M90" s="608">
        <v>203</v>
      </c>
      <c r="N90" s="608" t="s">
        <v>2532</v>
      </c>
    </row>
    <row r="91">
      <c r="A91" s="139"/>
      <c r="B91" s="140"/>
      <c r="C91" s="141"/>
      <c r="D91" s="588"/>
      <c r="E91" s="561"/>
      <c r="F91" s="832"/>
      <c r="G91" s="826"/>
      <c r="H91" s="141"/>
      <c r="I91" s="141"/>
      <c r="K91" s="31">
        <f>IF(A91="","",MAX(K$10:K90)+1)</f>
        <v/>
      </c>
      <c r="L91" s="31">
        <f>IFERROR(INDEX($A$11:$A$99922,MATCH(ROW()-10,$K$11:$K$99922,0)),"")</f>
        <v/>
      </c>
      <c r="M91" s="608">
        <v>204</v>
      </c>
      <c r="N91" s="608" t="s">
        <v>2534</v>
      </c>
    </row>
    <row r="92">
      <c r="A92" s="139"/>
      <c r="B92" s="140"/>
      <c r="C92" s="141"/>
      <c r="D92" s="588"/>
      <c r="E92" s="561"/>
      <c r="F92" s="832"/>
      <c r="G92" s="826"/>
      <c r="H92" s="141"/>
      <c r="I92" s="141"/>
      <c r="K92" s="31">
        <f>IF(A92="","",MAX(K$10:K91)+1)</f>
        <v/>
      </c>
      <c r="L92" s="31">
        <f>IFERROR(INDEX($A$11:$A$99922,MATCH(ROW()-10,$K$11:$K$99922,0)),"")</f>
        <v/>
      </c>
      <c r="M92" s="608">
        <v>221</v>
      </c>
      <c r="N92" s="608" t="s">
        <v>2536</v>
      </c>
    </row>
    <row r="93">
      <c r="A93" s="139"/>
      <c r="B93" s="140"/>
      <c r="C93" s="141"/>
      <c r="D93" s="588"/>
      <c r="E93" s="561"/>
      <c r="F93" s="832"/>
      <c r="G93" s="826"/>
      <c r="H93" s="141"/>
      <c r="I93" s="141"/>
      <c r="K93" s="31">
        <f>IF(A93="","",MAX(K$10:K92)+1)</f>
        <v/>
      </c>
      <c r="L93" s="31">
        <f>IFERROR(INDEX($A$11:$A$99922,MATCH(ROW()-10,$K$11:$K$99922,0)),"")</f>
        <v/>
      </c>
      <c r="M93" s="608">
        <v>222</v>
      </c>
      <c r="N93" s="608" t="s">
        <v>2538</v>
      </c>
    </row>
    <row r="94">
      <c r="A94" s="139"/>
      <c r="B94" s="140"/>
      <c r="C94" s="141"/>
      <c r="D94" s="588"/>
      <c r="E94" s="561"/>
      <c r="F94" s="832"/>
      <c r="G94" s="826"/>
      <c r="H94" s="141"/>
      <c r="I94" s="141"/>
      <c r="K94" s="31">
        <f>IF(A94="","",MAX(K$10:K93)+1)</f>
        <v/>
      </c>
      <c r="L94" s="31">
        <f>IFERROR(INDEX($A$11:$A$99922,MATCH(ROW()-10,$K$11:$K$99922,0)),"")</f>
        <v/>
      </c>
      <c r="M94" s="608">
        <v>301</v>
      </c>
      <c r="N94" s="608" t="s">
        <v>2540</v>
      </c>
    </row>
    <row r="95">
      <c r="A95" s="139"/>
      <c r="B95" s="140"/>
      <c r="C95" s="141"/>
      <c r="D95" s="588"/>
      <c r="E95" s="561"/>
      <c r="F95" s="832"/>
      <c r="G95" s="826"/>
      <c r="H95" s="141"/>
      <c r="I95" s="141"/>
      <c r="K95" s="31">
        <f>IF(A95="","",MAX(K$10:K94)+1)</f>
        <v/>
      </c>
      <c r="L95" s="31">
        <f>IFERROR(INDEX($A$11:$A$99922,MATCH(ROW()-10,$K$11:$K$99922,0)),"")</f>
        <v/>
      </c>
      <c r="M95" s="608">
        <v>302</v>
      </c>
      <c r="N95" s="608" t="s">
        <v>2386</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2409</v>
      </c>
      <c r="F98" s="833"/>
      <c r="G98" s="827"/>
      <c r="H98" s="144"/>
      <c r="I98" s="144"/>
      <c r="K98" s="31">
        <f>IF(A98="","",MAX(K$10:K97)+1)</f>
        <v/>
      </c>
      <c r="L98" s="31">
        <f>IFERROR(INDEX($A$11:$A$99922,MATCH(ROW()-10,$K$11:$K$99922,0)),"")</f>
        <v/>
      </c>
    </row>
    <row r="99">
      <c r="A99" s="562"/>
      <c r="B99" s="140"/>
      <c r="C99" s="141"/>
      <c r="D99" s="426"/>
      <c r="E99" s="427" t="s">
        <v>2377</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2409</v>
      </c>
      <c r="F109" s="833"/>
      <c r="G109" s="827"/>
      <c r="H109" s="144"/>
      <c r="I109" s="144"/>
      <c r="K109" s="31">
        <f>IF(A109="","",MAX(K$10:K108)+1)</f>
        <v/>
      </c>
      <c r="L109" s="31">
        <f>IFERROR(INDEX($A$11:$A$99922,MATCH(ROW()-10,$K$11:$K$99922,0)),"")</f>
        <v/>
      </c>
    </row>
    <row r="110">
      <c r="A110" s="562"/>
      <c r="B110" s="140"/>
      <c r="C110" s="141"/>
      <c r="D110" s="426"/>
      <c r="E110" s="427" t="s">
        <v>2377</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2409</v>
      </c>
      <c r="F120" s="833"/>
      <c r="G120" s="827"/>
      <c r="H120" s="144"/>
      <c r="I120" s="144"/>
      <c r="K120" s="31">
        <f>IF(A120="","",MAX(K$10:K119)+1)</f>
        <v/>
      </c>
      <c r="L120" s="31">
        <f>IFERROR(INDEX($A$11:$A$99922,MATCH(ROW()-10,$K$11:$K$99922,0)),"")</f>
        <v/>
      </c>
    </row>
    <row r="121">
      <c r="A121" s="562"/>
      <c r="B121" s="140"/>
      <c r="C121" s="141"/>
      <c r="D121" s="426"/>
      <c r="E121" s="427" t="s">
        <v>2377</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2409</v>
      </c>
      <c r="F131" s="833"/>
      <c r="G131" s="827"/>
      <c r="H131" s="144"/>
      <c r="I131" s="144"/>
      <c r="K131" s="31">
        <f>IF(A131="","",MAX(K$10:K130)+1)</f>
        <v/>
      </c>
      <c r="L131" s="31">
        <f>IFERROR(INDEX($A$11:$A$99922,MATCH(ROW()-10,$K$11:$K$99922,0)),"")</f>
        <v/>
      </c>
    </row>
    <row r="132">
      <c r="A132" s="562"/>
      <c r="B132" s="140"/>
      <c r="C132" s="141"/>
      <c r="D132" s="426"/>
      <c r="E132" s="427" t="s">
        <v>2377</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2409</v>
      </c>
      <c r="F142" s="833"/>
      <c r="G142" s="827"/>
      <c r="H142" s="144"/>
      <c r="I142" s="144"/>
      <c r="K142" s="31">
        <f>IF(A142="","",MAX(K$10:K141)+1)</f>
        <v/>
      </c>
      <c r="L142" s="31">
        <f>IFERROR(INDEX($A$11:$A$99922,MATCH(ROW()-10,$K$11:$K$99922,0)),"")</f>
        <v/>
      </c>
    </row>
    <row r="143">
      <c r="A143" s="562"/>
      <c r="B143" s="140"/>
      <c r="C143" s="141"/>
      <c r="D143" s="426"/>
      <c r="E143" s="427" t="s">
        <v>2377</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2409</v>
      </c>
      <c r="F153" s="833"/>
      <c r="G153" s="827"/>
      <c r="H153" s="144"/>
      <c r="I153" s="144"/>
      <c r="K153" s="31">
        <f>IF(A153="","",MAX(K$10:K152)+1)</f>
        <v/>
      </c>
      <c r="L153" s="31">
        <f>IFERROR(INDEX($A$11:$A$99922,MATCH(ROW()-10,$K$11:$K$99922,0)),"")</f>
        <v/>
      </c>
    </row>
    <row r="154">
      <c r="A154" s="562"/>
      <c r="B154" s="140"/>
      <c r="C154" s="141"/>
      <c r="D154" s="426"/>
      <c r="E154" s="427" t="s">
        <v>2377</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2409</v>
      </c>
      <c r="F164" s="833"/>
      <c r="G164" s="827"/>
      <c r="H164" s="144"/>
      <c r="I164" s="144"/>
      <c r="K164" s="31">
        <f>IF(A164="","",MAX(K$10:K163)+1)</f>
        <v/>
      </c>
      <c r="L164" s="31">
        <f>IFERROR(INDEX($A$11:$A$99922,MATCH(ROW()-10,$K$11:$K$99922,0)),"")</f>
        <v/>
      </c>
    </row>
    <row r="165">
      <c r="A165" s="562"/>
      <c r="B165" s="140"/>
      <c r="C165" s="141"/>
      <c r="D165" s="426"/>
      <c r="E165" s="427" t="s">
        <v>2377</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2409</v>
      </c>
      <c r="F175" s="833"/>
      <c r="G175" s="827"/>
      <c r="H175" s="144"/>
      <c r="I175" s="144"/>
      <c r="K175" s="31">
        <f>IF(A175="","",MAX(K$10:K174)+1)</f>
        <v/>
      </c>
      <c r="L175" s="31">
        <f>IFERROR(INDEX($A$11:$A$99922,MATCH(ROW()-10,$K$11:$K$99922,0)),"")</f>
        <v/>
      </c>
    </row>
    <row r="176">
      <c r="A176" s="562"/>
      <c r="B176" s="140"/>
      <c r="C176" s="141"/>
      <c r="D176" s="426"/>
      <c r="E176" s="427" t="s">
        <v>2377</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2409</v>
      </c>
      <c r="F186" s="833"/>
      <c r="G186" s="827"/>
      <c r="H186" s="144"/>
      <c r="I186" s="144"/>
      <c r="K186" s="31">
        <f>IF(A186="","",MAX(K$10:K185)+1)</f>
        <v/>
      </c>
      <c r="L186" s="31">
        <f>IFERROR(INDEX($A$11:$A$99922,MATCH(ROW()-10,$K$11:$K$99922,0)),"")</f>
        <v/>
      </c>
    </row>
    <row r="187">
      <c r="A187" s="562"/>
      <c r="B187" s="140"/>
      <c r="C187" s="141"/>
      <c r="D187" s="426"/>
      <c r="E187" s="427" t="s">
        <v>2377</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2409</v>
      </c>
      <c r="F197" s="833"/>
      <c r="G197" s="827"/>
      <c r="H197" s="144"/>
      <c r="I197" s="144"/>
      <c r="K197" s="31">
        <f>IF(A197="","",MAX(K$10:K196)+1)</f>
        <v/>
      </c>
      <c r="L197" s="31">
        <f>IFERROR(INDEX($A$11:$A$99922,MATCH(ROW()-10,$K$11:$K$99922,0)),"")</f>
        <v/>
      </c>
    </row>
    <row r="198">
      <c r="A198" s="562"/>
      <c r="B198" s="140"/>
      <c r="C198" s="141"/>
      <c r="D198" s="426"/>
      <c r="E198" s="427" t="s">
        <v>2377</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2409</v>
      </c>
      <c r="F208" s="833"/>
      <c r="G208" s="827"/>
      <c r="H208" s="144"/>
      <c r="I208" s="144"/>
      <c r="K208" s="31">
        <f>IF(A208="","",MAX(K$10:K207)+1)</f>
        <v/>
      </c>
      <c r="L208" s="31">
        <f>IFERROR(INDEX($A$11:$A$99922,MATCH(ROW()-10,$K$11:$K$99922,0)),"")</f>
        <v/>
      </c>
    </row>
    <row r="209">
      <c r="A209" s="562"/>
      <c r="B209" s="140"/>
      <c r="C209" s="141"/>
      <c r="D209" s="426"/>
      <c r="E209" s="427" t="s">
        <v>2377</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2409</v>
      </c>
      <c r="F219" s="833"/>
      <c r="G219" s="827"/>
      <c r="H219" s="144"/>
      <c r="I219" s="144"/>
      <c r="K219" s="31">
        <f>IF(A219="","",MAX(K$10:K218)+1)</f>
        <v/>
      </c>
      <c r="L219" s="31">
        <f>IFERROR(INDEX($A$11:$A$99922,MATCH(ROW()-10,$K$11:$K$99922,0)),"")</f>
        <v/>
      </c>
    </row>
    <row r="220">
      <c r="A220" s="562"/>
      <c r="B220" s="140"/>
      <c r="C220" s="141"/>
      <c r="D220" s="426"/>
      <c r="E220" s="427" t="s">
        <v>2377</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2409</v>
      </c>
      <c r="F230" s="833"/>
      <c r="G230" s="827"/>
      <c r="H230" s="144"/>
      <c r="I230" s="144"/>
      <c r="K230" s="31">
        <f>IF(A230="","",MAX(K$10:K229)+1)</f>
        <v/>
      </c>
      <c r="L230" s="31">
        <f>IFERROR(INDEX($A$11:$A$99922,MATCH(ROW()-10,$K$11:$K$99922,0)),"")</f>
        <v/>
      </c>
    </row>
    <row r="231">
      <c r="A231" s="562"/>
      <c r="B231" s="140"/>
      <c r="C231" s="141"/>
      <c r="D231" s="426"/>
      <c r="E231" s="427" t="s">
        <v>2377</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2409</v>
      </c>
      <c r="F241" s="833"/>
      <c r="G241" s="827"/>
      <c r="H241" s="144"/>
      <c r="I241" s="144"/>
      <c r="K241" s="31">
        <f>IF(A241="","",MAX(K$10:K240)+1)</f>
        <v/>
      </c>
      <c r="L241" s="31">
        <f>IFERROR(INDEX($A$11:$A$99922,MATCH(ROW()-10,$K$11:$K$99922,0)),"")</f>
        <v/>
      </c>
    </row>
    <row r="242">
      <c r="A242" s="562"/>
      <c r="B242" s="140"/>
      <c r="C242" s="141"/>
      <c r="D242" s="426"/>
      <c r="E242" s="427" t="s">
        <v>2377</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2409</v>
      </c>
      <c r="F252" s="833"/>
      <c r="G252" s="827"/>
      <c r="H252" s="144"/>
      <c r="I252" s="144"/>
      <c r="K252" s="31">
        <f>IF(A252="","",MAX(K$10:K251)+1)</f>
        <v/>
      </c>
      <c r="L252" s="31">
        <f>IFERROR(INDEX($A$11:$A$99922,MATCH(ROW()-10,$K$11:$K$99922,0)),"")</f>
        <v/>
      </c>
    </row>
    <row r="253">
      <c r="A253" s="562"/>
      <c r="B253" s="140"/>
      <c r="C253" s="141"/>
      <c r="D253" s="426"/>
      <c r="E253" s="427" t="s">
        <v>2377</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2409</v>
      </c>
      <c r="F263" s="833"/>
      <c r="G263" s="827"/>
      <c r="H263" s="144"/>
      <c r="I263" s="144"/>
      <c r="K263" s="31">
        <f>IF(A263="","",MAX(K$10:K262)+1)</f>
        <v/>
      </c>
      <c r="L263" s="31">
        <f>IFERROR(INDEX($A$11:$A$99922,MATCH(ROW()-10,$K$11:$K$99922,0)),"")</f>
        <v/>
      </c>
    </row>
    <row r="264">
      <c r="A264" s="562"/>
      <c r="B264" s="140"/>
      <c r="C264" s="141"/>
      <c r="D264" s="426"/>
      <c r="E264" s="427" t="s">
        <v>2377</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2409</v>
      </c>
      <c r="F274" s="833"/>
      <c r="G274" s="827"/>
      <c r="H274" s="144"/>
      <c r="I274" s="144"/>
      <c r="K274" s="31">
        <f>IF(A274="","",MAX(K$10:K273)+1)</f>
        <v/>
      </c>
      <c r="L274" s="31">
        <f>IFERROR(INDEX($A$11:$A$99922,MATCH(ROW()-10,$K$11:$K$99922,0)),"")</f>
        <v/>
      </c>
    </row>
    <row r="275">
      <c r="A275" s="562"/>
      <c r="B275" s="140"/>
      <c r="C275" s="141"/>
      <c r="D275" s="426"/>
      <c r="E275" s="427" t="s">
        <v>2377</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2409</v>
      </c>
      <c r="F285" s="833"/>
      <c r="G285" s="827"/>
      <c r="H285" s="144"/>
      <c r="I285" s="144"/>
      <c r="K285" s="31">
        <f>IF(A285="","",MAX(K$10:K284)+1)</f>
        <v/>
      </c>
      <c r="L285" s="31">
        <f>IFERROR(INDEX($A$11:$A$99922,MATCH(ROW()-10,$K$11:$K$99922,0)),"")</f>
        <v/>
      </c>
    </row>
    <row r="286">
      <c r="A286" s="562"/>
      <c r="B286" s="140"/>
      <c r="C286" s="141"/>
      <c r="D286" s="426"/>
      <c r="E286" s="427" t="s">
        <v>2377</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2409</v>
      </c>
      <c r="F296" s="833"/>
      <c r="G296" s="827"/>
      <c r="H296" s="144"/>
      <c r="I296" s="144"/>
      <c r="K296" s="31">
        <f>IF(A296="","",MAX(K$10:K295)+1)</f>
        <v/>
      </c>
      <c r="L296" s="31">
        <f>IFERROR(INDEX($A$11:$A$99922,MATCH(ROW()-10,$K$11:$K$99922,0)),"")</f>
        <v/>
      </c>
    </row>
    <row r="297">
      <c r="A297" s="562"/>
      <c r="B297" s="140"/>
      <c r="C297" s="141"/>
      <c r="D297" s="426"/>
      <c r="E297" s="427" t="s">
        <v>2377</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2409</v>
      </c>
      <c r="F307" s="833"/>
      <c r="G307" s="827"/>
      <c r="H307" s="144"/>
      <c r="I307" s="144"/>
      <c r="K307" s="31">
        <f>IF(A307="","",MAX(K$10:K306)+1)</f>
        <v/>
      </c>
      <c r="L307" s="31">
        <f>IFERROR(INDEX($A$11:$A$99922,MATCH(ROW()-10,$K$11:$K$99922,0)),"")</f>
        <v/>
      </c>
    </row>
    <row r="308">
      <c r="A308" s="562"/>
      <c r="B308" s="140"/>
      <c r="C308" s="141"/>
      <c r="D308" s="426"/>
      <c r="E308" s="427" t="s">
        <v>2377</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2409</v>
      </c>
      <c r="F318" s="833"/>
      <c r="G318" s="827"/>
      <c r="H318" s="144"/>
      <c r="I318" s="144"/>
      <c r="K318" s="31">
        <f>IF(A318="","",MAX(K$10:K317)+1)</f>
        <v/>
      </c>
      <c r="L318" s="31">
        <f>IFERROR(INDEX($A$11:$A$99922,MATCH(ROW()-10,$K$11:$K$99922,0)),"")</f>
        <v/>
      </c>
    </row>
    <row r="319">
      <c r="A319" s="562"/>
      <c r="B319" s="140"/>
      <c r="C319" s="141"/>
      <c r="D319" s="426"/>
      <c r="E319" s="427" t="s">
        <v>2377</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2409</v>
      </c>
      <c r="F329" s="833"/>
      <c r="G329" s="827"/>
      <c r="H329" s="144"/>
      <c r="I329" s="144"/>
      <c r="K329" s="31">
        <f>IF(A329="","",MAX(K$10:K328)+1)</f>
        <v/>
      </c>
      <c r="L329" s="31">
        <f>IFERROR(INDEX($A$11:$A$99922,MATCH(ROW()-10,$K$11:$K$99922,0)),"")</f>
        <v/>
      </c>
    </row>
    <row r="330">
      <c r="A330" s="562"/>
      <c r="B330" s="140"/>
      <c r="C330" s="141"/>
      <c r="D330" s="426"/>
      <c r="E330" s="427" t="s">
        <v>2377</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2409</v>
      </c>
      <c r="F340" s="833"/>
      <c r="G340" s="827"/>
      <c r="H340" s="144"/>
      <c r="I340" s="144"/>
      <c r="K340" s="31">
        <f>IF(A340="","",MAX(K$10:K339)+1)</f>
        <v/>
      </c>
      <c r="L340" s="31">
        <f>IFERROR(INDEX($A$11:$A$99922,MATCH(ROW()-10,$K$11:$K$99922,0)),"")</f>
        <v/>
      </c>
    </row>
    <row r="341">
      <c r="A341" s="562"/>
      <c r="B341" s="140"/>
      <c r="C341" s="141"/>
      <c r="D341" s="426"/>
      <c r="E341" s="427" t="s">
        <v>2377</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2409</v>
      </c>
      <c r="F351" s="833"/>
      <c r="G351" s="827"/>
      <c r="H351" s="144"/>
      <c r="I351" s="144"/>
      <c r="K351" s="31">
        <f>IF(A351="","",MAX(K$10:K350)+1)</f>
        <v/>
      </c>
      <c r="L351" s="31">
        <f>IFERROR(INDEX($A$11:$A$99922,MATCH(ROW()-10,$K$11:$K$99922,0)),"")</f>
        <v/>
      </c>
    </row>
    <row r="352">
      <c r="A352" s="562"/>
      <c r="B352" s="140"/>
      <c r="C352" s="141"/>
      <c r="D352" s="426"/>
      <c r="E352" s="427" t="s">
        <v>2377</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2409</v>
      </c>
      <c r="F362" s="833"/>
      <c r="G362" s="827"/>
      <c r="H362" s="144"/>
      <c r="I362" s="144"/>
      <c r="K362" s="31">
        <f>IF(A362="","",MAX(K$10:K361)+1)</f>
        <v/>
      </c>
      <c r="L362" s="31">
        <f>IFERROR(INDEX($A$11:$A$99922,MATCH(ROW()-10,$K$11:$K$99922,0)),"")</f>
        <v/>
      </c>
    </row>
    <row r="363">
      <c r="A363" s="562"/>
      <c r="B363" s="140"/>
      <c r="C363" s="141"/>
      <c r="D363" s="426"/>
      <c r="E363" s="427" t="s">
        <v>2377</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2409</v>
      </c>
      <c r="F373" s="833"/>
      <c r="G373" s="827"/>
      <c r="H373" s="144"/>
      <c r="I373" s="144"/>
      <c r="K373" s="31">
        <f>IF(A373="","",MAX(K$10:K372)+1)</f>
        <v/>
      </c>
      <c r="L373" s="31">
        <f>IFERROR(INDEX($A$11:$A$99922,MATCH(ROW()-10,$K$11:$K$99922,0)),"")</f>
        <v/>
      </c>
    </row>
    <row r="374">
      <c r="A374" s="562"/>
      <c r="B374" s="140"/>
      <c r="C374" s="141"/>
      <c r="D374" s="426"/>
      <c r="E374" s="427" t="s">
        <v>2377</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2409</v>
      </c>
      <c r="F384" s="833"/>
      <c r="G384" s="827"/>
      <c r="H384" s="144"/>
      <c r="I384" s="144"/>
      <c r="K384" s="31">
        <f>IF(A384="","",MAX(K$10:K383)+1)</f>
        <v/>
      </c>
      <c r="L384" s="31">
        <f>IFERROR(INDEX($A$11:$A$99922,MATCH(ROW()-10,$K$11:$K$99922,0)),"")</f>
        <v/>
      </c>
    </row>
    <row r="385">
      <c r="A385" s="562"/>
      <c r="B385" s="140"/>
      <c r="C385" s="141"/>
      <c r="D385" s="426"/>
      <c r="E385" s="427" t="s">
        <v>2377</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2409</v>
      </c>
      <c r="F395" s="833"/>
      <c r="G395" s="827"/>
      <c r="H395" s="144"/>
      <c r="I395" s="144"/>
      <c r="K395" s="31">
        <f>IF(A395="","",MAX(K$10:K394)+1)</f>
        <v/>
      </c>
      <c r="L395" s="31">
        <f>IFERROR(INDEX($A$11:$A$99922,MATCH(ROW()-10,$K$11:$K$99922,0)),"")</f>
        <v/>
      </c>
    </row>
    <row r="396">
      <c r="A396" s="562"/>
      <c r="B396" s="140"/>
      <c r="C396" s="141"/>
      <c r="D396" s="426"/>
      <c r="E396" s="427" t="s">
        <v>2377</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2409</v>
      </c>
      <c r="F406" s="833"/>
      <c r="G406" s="827"/>
      <c r="H406" s="144"/>
      <c r="I406" s="144"/>
      <c r="K406" s="31">
        <f>IF(A406="","",MAX(K$10:K405)+1)</f>
        <v/>
      </c>
      <c r="L406" s="31">
        <f>IFERROR(INDEX($A$11:$A$99922,MATCH(ROW()-10,$K$11:$K$99922,0)),"")</f>
        <v/>
      </c>
    </row>
    <row r="407">
      <c r="A407" s="562"/>
      <c r="B407" s="140"/>
      <c r="C407" s="141"/>
      <c r="D407" s="426"/>
      <c r="E407" s="427" t="s">
        <v>2377</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2409</v>
      </c>
      <c r="F417" s="833"/>
      <c r="G417" s="827"/>
      <c r="H417" s="144"/>
      <c r="I417" s="144"/>
      <c r="K417" s="31">
        <f>IF(A417="","",MAX(K$10:K416)+1)</f>
        <v/>
      </c>
      <c r="L417" s="31">
        <f>IFERROR(INDEX($A$11:$A$99922,MATCH(ROW()-10,$K$11:$K$99922,0)),"")</f>
        <v/>
      </c>
    </row>
    <row r="418">
      <c r="A418" s="562"/>
      <c r="B418" s="140"/>
      <c r="C418" s="141"/>
      <c r="D418" s="426"/>
      <c r="E418" s="427" t="s">
        <v>2377</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2409</v>
      </c>
      <c r="F428" s="833"/>
      <c r="G428" s="827"/>
      <c r="H428" s="144"/>
      <c r="I428" s="144"/>
      <c r="K428" s="31">
        <f>IF(A428="","",MAX(K$10:K427)+1)</f>
        <v/>
      </c>
      <c r="L428" s="31">
        <f>IFERROR(INDEX($A$11:$A$99922,MATCH(ROW()-10,$K$11:$K$99922,0)),"")</f>
        <v/>
      </c>
    </row>
    <row r="429">
      <c r="A429" s="562"/>
      <c r="B429" s="140"/>
      <c r="C429" s="141"/>
      <c r="D429" s="426"/>
      <c r="E429" s="427" t="s">
        <v>2377</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2409</v>
      </c>
      <c r="F439" s="833"/>
      <c r="G439" s="827"/>
      <c r="H439" s="144"/>
      <c r="I439" s="144"/>
      <c r="K439" s="31">
        <f>IF(A439="","",MAX(K$10:K438)+1)</f>
        <v/>
      </c>
      <c r="L439" s="31">
        <f>IFERROR(INDEX($A$11:$A$99922,MATCH(ROW()-10,$K$11:$K$99922,0)),"")</f>
        <v/>
      </c>
    </row>
    <row r="440">
      <c r="A440" s="562"/>
      <c r="B440" s="140"/>
      <c r="C440" s="141"/>
      <c r="D440" s="426"/>
      <c r="E440" s="427" t="s">
        <v>2377</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2409</v>
      </c>
      <c r="F450" s="833"/>
      <c r="G450" s="827"/>
      <c r="H450" s="144"/>
      <c r="I450" s="144"/>
      <c r="K450" s="31">
        <f>IF(A450="","",MAX(K$10:K449)+1)</f>
        <v/>
      </c>
      <c r="L450" s="31">
        <f>IFERROR(INDEX($A$11:$A$99922,MATCH(ROW()-10,$K$11:$K$99922,0)),"")</f>
        <v/>
      </c>
    </row>
    <row r="451">
      <c r="A451" s="562"/>
      <c r="B451" s="140"/>
      <c r="C451" s="141"/>
      <c r="D451" s="426"/>
      <c r="E451" s="427" t="s">
        <v>2377</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2409</v>
      </c>
      <c r="F461" s="833"/>
      <c r="G461" s="827"/>
      <c r="H461" s="144"/>
      <c r="I461" s="144"/>
      <c r="K461" s="31">
        <f>IF(A461="","",MAX(K$10:K460)+1)</f>
        <v/>
      </c>
      <c r="L461" s="31">
        <f>IFERROR(INDEX($A$11:$A$99922,MATCH(ROW()-10,$K$11:$K$99922,0)),"")</f>
        <v/>
      </c>
    </row>
    <row r="462">
      <c r="A462" s="562"/>
      <c r="B462" s="140"/>
      <c r="C462" s="141"/>
      <c r="D462" s="426"/>
      <c r="E462" s="427" t="s">
        <v>2377</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2409</v>
      </c>
      <c r="F472" s="833"/>
      <c r="G472" s="827"/>
      <c r="H472" s="144"/>
      <c r="I472" s="144"/>
      <c r="K472" s="31">
        <f>IF(A472="","",MAX(K$10:K471)+1)</f>
        <v/>
      </c>
      <c r="L472" s="31">
        <f>IFERROR(INDEX($A$11:$A$99922,MATCH(ROW()-10,$K$11:$K$99922,0)),"")</f>
        <v/>
      </c>
    </row>
    <row r="473">
      <c r="A473" s="562"/>
      <c r="B473" s="140"/>
      <c r="C473" s="141"/>
      <c r="D473" s="426"/>
      <c r="E473" s="427" t="s">
        <v>2377</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2409</v>
      </c>
      <c r="F483" s="833"/>
      <c r="G483" s="827"/>
      <c r="H483" s="144"/>
      <c r="I483" s="144"/>
      <c r="K483" s="31">
        <f>IF(A483="","",MAX(K$10:K482)+1)</f>
        <v/>
      </c>
      <c r="L483" s="31">
        <f>IFERROR(INDEX($A$11:$A$99922,MATCH(ROW()-10,$K$11:$K$99922,0)),"")</f>
        <v/>
      </c>
    </row>
    <row r="484">
      <c r="A484" s="562"/>
      <c r="B484" s="140"/>
      <c r="C484" s="141"/>
      <c r="D484" s="426"/>
      <c r="E484" s="427" t="s">
        <v>2377</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2409</v>
      </c>
      <c r="F494" s="833"/>
      <c r="G494" s="827"/>
      <c r="H494" s="144"/>
      <c r="I494" s="144"/>
      <c r="K494" s="31">
        <f>IF(A494="","",MAX(K$10:K493)+1)</f>
        <v/>
      </c>
      <c r="L494" s="31">
        <f>IFERROR(INDEX($A$11:$A$99922,MATCH(ROW()-10,$K$11:$K$99922,0)),"")</f>
        <v/>
      </c>
    </row>
    <row r="495">
      <c r="A495" s="562"/>
      <c r="B495" s="140"/>
      <c r="C495" s="141"/>
      <c r="D495" s="426"/>
      <c r="E495" s="427" t="s">
        <v>2377</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2409</v>
      </c>
      <c r="F505" s="833"/>
      <c r="G505" s="827"/>
      <c r="H505" s="144"/>
      <c r="I505" s="144"/>
      <c r="K505" s="31">
        <f>IF(A505="","",MAX(K$10:K504)+1)</f>
        <v/>
      </c>
      <c r="L505" s="31">
        <f>IFERROR(INDEX($A$11:$A$99922,MATCH(ROW()-10,$K$11:$K$99922,0)),"")</f>
        <v/>
      </c>
    </row>
    <row r="506">
      <c r="A506" s="562"/>
      <c r="B506" s="140"/>
      <c r="C506" s="141"/>
      <c r="D506" s="426"/>
      <c r="E506" s="427" t="s">
        <v>2377</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2409</v>
      </c>
      <c r="F516" s="833"/>
      <c r="G516" s="827"/>
      <c r="H516" s="144"/>
      <c r="I516" s="144"/>
      <c r="K516" s="31">
        <f>IF(A516="","",MAX(K$10:K515)+1)</f>
        <v/>
      </c>
      <c r="L516" s="31">
        <f>IFERROR(INDEX($A$11:$A$99922,MATCH(ROW()-10,$K$11:$K$99922,0)),"")</f>
        <v/>
      </c>
    </row>
    <row r="517">
      <c r="A517" s="562"/>
      <c r="B517" s="140"/>
      <c r="C517" s="141"/>
      <c r="D517" s="426"/>
      <c r="E517" s="427" t="s">
        <v>2377</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2409</v>
      </c>
      <c r="F527" s="833"/>
      <c r="G527" s="827"/>
      <c r="H527" s="144"/>
      <c r="I527" s="144"/>
      <c r="K527" s="31">
        <f>IF(A527="","",MAX(K$10:K526)+1)</f>
        <v/>
      </c>
      <c r="L527" s="31">
        <f>IFERROR(INDEX($A$11:$A$99922,MATCH(ROW()-10,$K$11:$K$99922,0)),"")</f>
        <v/>
      </c>
    </row>
    <row r="528">
      <c r="A528" s="562"/>
      <c r="B528" s="140"/>
      <c r="C528" s="141"/>
      <c r="D528" s="426"/>
      <c r="E528" s="427" t="s">
        <v>2377</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2409</v>
      </c>
      <c r="F538" s="833"/>
      <c r="G538" s="827"/>
      <c r="H538" s="144"/>
      <c r="I538" s="144"/>
      <c r="K538" s="31">
        <f>IF(A538="","",MAX(K$10:K537)+1)</f>
        <v/>
      </c>
      <c r="L538" s="31">
        <f>IFERROR(INDEX($A$11:$A$99922,MATCH(ROW()-10,$K$11:$K$99922,0)),"")</f>
        <v/>
      </c>
    </row>
    <row r="539">
      <c r="A539" s="562"/>
      <c r="B539" s="140"/>
      <c r="C539" s="141"/>
      <c r="D539" s="426"/>
      <c r="E539" s="427" t="s">
        <v>2377</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2409</v>
      </c>
      <c r="F549" s="833"/>
      <c r="G549" s="827"/>
      <c r="H549" s="144"/>
      <c r="I549" s="144"/>
      <c r="K549" s="31">
        <f>IF(A549="","",MAX(K$10:K548)+1)</f>
        <v/>
      </c>
      <c r="L549" s="31">
        <f>IFERROR(INDEX($A$11:$A$99922,MATCH(ROW()-10,$K$11:$K$99922,0)),"")</f>
        <v/>
      </c>
    </row>
    <row r="550">
      <c r="A550" s="562"/>
      <c r="B550" s="140"/>
      <c r="C550" s="141"/>
      <c r="D550" s="426"/>
      <c r="E550" s="427" t="s">
        <v>2377</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2409</v>
      </c>
      <c r="F560" s="833"/>
      <c r="G560" s="827"/>
      <c r="H560" s="144"/>
      <c r="I560" s="144"/>
      <c r="K560" s="31">
        <f>IF(A560="","",MAX(K$10:K559)+1)</f>
        <v/>
      </c>
      <c r="L560" s="31">
        <f>IFERROR(INDEX($A$11:$A$99922,MATCH(ROW()-10,$K$11:$K$99922,0)),"")</f>
        <v/>
      </c>
    </row>
    <row r="561">
      <c r="A561" s="562"/>
      <c r="B561" s="140"/>
      <c r="C561" s="141"/>
      <c r="D561" s="426"/>
      <c r="E561" s="427" t="s">
        <v>2377</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2409</v>
      </c>
      <c r="F571" s="833"/>
      <c r="G571" s="827"/>
      <c r="H571" s="144"/>
      <c r="I571" s="144"/>
      <c r="K571" s="31">
        <f>IF(A571="","",MAX(K$10:K570)+1)</f>
        <v/>
      </c>
      <c r="L571" s="31">
        <f>IFERROR(INDEX($A$11:$A$99922,MATCH(ROW()-10,$K$11:$K$99922,0)),"")</f>
        <v/>
      </c>
    </row>
    <row r="572">
      <c r="A572" s="562"/>
      <c r="B572" s="140"/>
      <c r="C572" s="141"/>
      <c r="D572" s="426"/>
      <c r="E572" s="427" t="s">
        <v>2377</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2409</v>
      </c>
      <c r="F582" s="833"/>
      <c r="G582" s="827"/>
      <c r="H582" s="144"/>
      <c r="I582" s="144"/>
      <c r="K582" s="31">
        <f>IF(A582="","",MAX(K$10:K581)+1)</f>
        <v/>
      </c>
      <c r="L582" s="31">
        <f>IFERROR(INDEX($A$11:$A$99922,MATCH(ROW()-10,$K$11:$K$99922,0)),"")</f>
        <v/>
      </c>
    </row>
    <row r="583">
      <c r="A583" s="562"/>
      <c r="B583" s="140"/>
      <c r="C583" s="141"/>
      <c r="D583" s="426"/>
      <c r="E583" s="427" t="s">
        <v>2377</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2409</v>
      </c>
      <c r="F593" s="833"/>
      <c r="G593" s="827"/>
      <c r="H593" s="144"/>
      <c r="I593" s="144"/>
      <c r="K593" s="31">
        <f>IF(A593="","",MAX(K$10:K592)+1)</f>
        <v/>
      </c>
      <c r="L593" s="31">
        <f>IFERROR(INDEX($A$11:$A$99922,MATCH(ROW()-10,$K$11:$K$99922,0)),"")</f>
        <v/>
      </c>
    </row>
    <row r="594">
      <c r="A594" s="562"/>
      <c r="B594" s="140"/>
      <c r="C594" s="141"/>
      <c r="D594" s="426"/>
      <c r="E594" s="427" t="s">
        <v>2377</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2409</v>
      </c>
      <c r="F604" s="833"/>
      <c r="G604" s="827"/>
      <c r="H604" s="144"/>
      <c r="I604" s="144"/>
      <c r="K604" s="31">
        <f>IF(A604="","",MAX(K$10:K603)+1)</f>
        <v/>
      </c>
      <c r="L604" s="31">
        <f>IFERROR(INDEX($A$11:$A$99922,MATCH(ROW()-10,$K$11:$K$99922,0)),"")</f>
        <v/>
      </c>
    </row>
    <row r="605">
      <c r="A605" s="562"/>
      <c r="B605" s="140"/>
      <c r="C605" s="141"/>
      <c r="D605" s="426"/>
      <c r="E605" s="427" t="s">
        <v>2377</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2409</v>
      </c>
      <c r="F615" s="833"/>
      <c r="G615" s="827"/>
      <c r="H615" s="144"/>
      <c r="I615" s="144"/>
      <c r="K615" s="31">
        <f>IF(A615="","",MAX(K$10:K614)+1)</f>
        <v/>
      </c>
      <c r="L615" s="31">
        <f>IFERROR(INDEX($A$11:$A$99922,MATCH(ROW()-10,$K$11:$K$99922,0)),"")</f>
        <v/>
      </c>
    </row>
    <row r="616">
      <c r="A616" s="562"/>
      <c r="B616" s="140"/>
      <c r="C616" s="141"/>
      <c r="D616" s="426"/>
      <c r="E616" s="427" t="s">
        <v>2377</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2409</v>
      </c>
      <c r="F626" s="833"/>
      <c r="G626" s="827"/>
      <c r="H626" s="144"/>
      <c r="I626" s="144"/>
      <c r="K626" s="31">
        <f>IF(A626="","",MAX(K$10:K625)+1)</f>
        <v/>
      </c>
      <c r="L626" s="31">
        <f>IFERROR(INDEX($A$11:$A$99922,MATCH(ROW()-10,$K$11:$K$99922,0)),"")</f>
        <v/>
      </c>
    </row>
    <row r="627">
      <c r="A627" s="562"/>
      <c r="B627" s="140"/>
      <c r="C627" s="141"/>
      <c r="D627" s="426"/>
      <c r="E627" s="427" t="s">
        <v>2377</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2409</v>
      </c>
      <c r="F637" s="833"/>
      <c r="G637" s="827"/>
      <c r="H637" s="144"/>
      <c r="I637" s="144"/>
      <c r="K637" s="31">
        <f>IF(A637="","",MAX(K$10:K636)+1)</f>
        <v/>
      </c>
      <c r="L637" s="31">
        <f>IFERROR(INDEX($A$11:$A$99922,MATCH(ROW()-10,$K$11:$K$99922,0)),"")</f>
        <v/>
      </c>
    </row>
    <row r="638">
      <c r="A638" s="562"/>
      <c r="B638" s="140"/>
      <c r="C638" s="141"/>
      <c r="D638" s="426"/>
      <c r="E638" s="427" t="s">
        <v>2377</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2409</v>
      </c>
      <c r="F648" s="833"/>
      <c r="G648" s="827"/>
      <c r="H648" s="144"/>
      <c r="I648" s="144"/>
      <c r="K648" s="31">
        <f>IF(A648="","",MAX(K$10:K647)+1)</f>
        <v/>
      </c>
      <c r="L648" s="31">
        <f>IFERROR(INDEX($A$11:$A$99922,MATCH(ROW()-10,$K$11:$K$99922,0)),"")</f>
        <v/>
      </c>
    </row>
    <row r="649">
      <c r="A649" s="562"/>
      <c r="B649" s="140"/>
      <c r="C649" s="141"/>
      <c r="D649" s="426"/>
      <c r="E649" s="427" t="s">
        <v>2377</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2409</v>
      </c>
      <c r="F659" s="833"/>
      <c r="G659" s="827"/>
      <c r="H659" s="144"/>
      <c r="I659" s="144"/>
      <c r="K659" s="31">
        <f>IF(A659="","",MAX(K$10:K658)+1)</f>
        <v/>
      </c>
      <c r="L659" s="31">
        <f>IFERROR(INDEX($A$11:$A$99922,MATCH(ROW()-10,$K$11:$K$99922,0)),"")</f>
        <v/>
      </c>
    </row>
    <row r="660">
      <c r="A660" s="562"/>
      <c r="B660" s="140"/>
      <c r="C660" s="141"/>
      <c r="D660" s="426"/>
      <c r="E660" s="427" t="s">
        <v>2377</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2409</v>
      </c>
      <c r="F670" s="833"/>
      <c r="G670" s="827"/>
      <c r="H670" s="144"/>
      <c r="I670" s="144"/>
      <c r="K670" s="31">
        <f>IF(A670="","",MAX(K$10:K669)+1)</f>
        <v/>
      </c>
      <c r="L670" s="31">
        <f>IFERROR(INDEX($A$11:$A$99922,MATCH(ROW()-10,$K$11:$K$99922,0)),"")</f>
        <v/>
      </c>
    </row>
    <row r="671">
      <c r="A671" s="562"/>
      <c r="B671" s="140"/>
      <c r="C671" s="141"/>
      <c r="D671" s="426"/>
      <c r="E671" s="427" t="s">
        <v>2377</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2409</v>
      </c>
      <c r="F681" s="833"/>
      <c r="G681" s="827"/>
      <c r="H681" s="144"/>
      <c r="I681" s="144"/>
      <c r="K681" s="31">
        <f>IF(A681="","",MAX(K$10:K680)+1)</f>
        <v/>
      </c>
      <c r="L681" s="31">
        <f>IFERROR(INDEX($A$11:$A$99922,MATCH(ROW()-10,$K$11:$K$99922,0)),"")</f>
        <v/>
      </c>
    </row>
    <row r="682">
      <c r="A682" s="562"/>
      <c r="B682" s="140"/>
      <c r="C682" s="141"/>
      <c r="D682" s="426"/>
      <c r="E682" s="427" t="s">
        <v>2377</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2409</v>
      </c>
      <c r="F692" s="833"/>
      <c r="G692" s="827"/>
      <c r="H692" s="144"/>
      <c r="I692" s="144"/>
      <c r="K692" s="31">
        <f>IF(A692="","",MAX(K$10:K691)+1)</f>
        <v/>
      </c>
      <c r="L692" s="31">
        <f>IFERROR(INDEX($A$11:$A$99922,MATCH(ROW()-10,$K$11:$K$99922,0)),"")</f>
        <v/>
      </c>
    </row>
    <row r="693">
      <c r="A693" s="562"/>
      <c r="B693" s="140"/>
      <c r="C693" s="141"/>
      <c r="D693" s="426"/>
      <c r="E693" s="427" t="s">
        <v>2377</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2409</v>
      </c>
      <c r="F703" s="833"/>
      <c r="G703" s="827"/>
      <c r="H703" s="144"/>
      <c r="I703" s="144"/>
      <c r="K703" s="31">
        <f>IF(A703="","",MAX(K$10:K702)+1)</f>
        <v/>
      </c>
      <c r="L703" s="31">
        <f>IFERROR(INDEX($A$11:$A$99922,MATCH(ROW()-10,$K$11:$K$99922,0)),"")</f>
        <v/>
      </c>
    </row>
    <row r="704">
      <c r="A704" s="562"/>
      <c r="B704" s="140"/>
      <c r="C704" s="141"/>
      <c r="D704" s="426"/>
      <c r="E704" s="427" t="s">
        <v>2377</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2409</v>
      </c>
      <c r="F714" s="833"/>
      <c r="G714" s="827"/>
      <c r="H714" s="144"/>
      <c r="I714" s="144"/>
      <c r="K714" s="31">
        <f>IF(A714="","",MAX(K$10:K713)+1)</f>
        <v/>
      </c>
      <c r="L714" s="31">
        <f>IFERROR(INDEX($A$11:$A$99922,MATCH(ROW()-10,$K$11:$K$99922,0)),"")</f>
        <v/>
      </c>
    </row>
    <row r="715">
      <c r="A715" s="562"/>
      <c r="B715" s="140"/>
      <c r="C715" s="141"/>
      <c r="D715" s="426"/>
      <c r="E715" s="427" t="s">
        <v>2377</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2409</v>
      </c>
      <c r="F725" s="833"/>
      <c r="G725" s="827"/>
      <c r="H725" s="144"/>
      <c r="I725" s="144"/>
      <c r="K725" s="31">
        <f>IF(A725="","",MAX(K$10:K724)+1)</f>
        <v/>
      </c>
      <c r="L725" s="31">
        <f>IFERROR(INDEX($A$11:$A$99922,MATCH(ROW()-10,$K$11:$K$99922,0)),"")</f>
        <v/>
      </c>
    </row>
    <row r="726">
      <c r="A726" s="562"/>
      <c r="B726" s="140"/>
      <c r="C726" s="141"/>
      <c r="D726" s="426"/>
      <c r="E726" s="427" t="s">
        <v>2377</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2409</v>
      </c>
      <c r="F736" s="833"/>
      <c r="G736" s="827"/>
      <c r="H736" s="144"/>
      <c r="I736" s="144"/>
      <c r="K736" s="31">
        <f>IF(A736="","",MAX(K$10:K735)+1)</f>
        <v/>
      </c>
      <c r="L736" s="31">
        <f>IFERROR(INDEX($A$11:$A$99922,MATCH(ROW()-10,$K$11:$K$99922,0)),"")</f>
        <v/>
      </c>
    </row>
    <row r="737">
      <c r="A737" s="562"/>
      <c r="B737" s="140"/>
      <c r="C737" s="141"/>
      <c r="D737" s="426"/>
      <c r="E737" s="427" t="s">
        <v>2377</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2409</v>
      </c>
      <c r="F747" s="833"/>
      <c r="G747" s="827"/>
      <c r="H747" s="144"/>
      <c r="I747" s="144"/>
      <c r="K747" s="31">
        <f>IF(A747="","",MAX(K$10:K746)+1)</f>
        <v/>
      </c>
      <c r="L747" s="31">
        <f>IFERROR(INDEX($A$11:$A$99922,MATCH(ROW()-10,$K$11:$K$99922,0)),"")</f>
        <v/>
      </c>
    </row>
    <row r="748">
      <c r="A748" s="562"/>
      <c r="B748" s="140"/>
      <c r="C748" s="141"/>
      <c r="D748" s="426"/>
      <c r="E748" s="427" t="s">
        <v>2377</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2409</v>
      </c>
      <c r="F758" s="833"/>
      <c r="G758" s="827"/>
      <c r="H758" s="144"/>
      <c r="I758" s="144"/>
      <c r="K758" s="31">
        <f>IF(A758="","",MAX(K$10:K757)+1)</f>
        <v/>
      </c>
      <c r="L758" s="31">
        <f>IFERROR(INDEX($A$11:$A$99922,MATCH(ROW()-10,$K$11:$K$99922,0)),"")</f>
        <v/>
      </c>
    </row>
    <row r="759">
      <c r="A759" s="562"/>
      <c r="B759" s="140"/>
      <c r="C759" s="141"/>
      <c r="D759" s="426"/>
      <c r="E759" s="427" t="s">
        <v>2377</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2409</v>
      </c>
      <c r="F769" s="833"/>
      <c r="G769" s="827"/>
      <c r="H769" s="144"/>
      <c r="I769" s="144"/>
      <c r="K769" s="31">
        <f>IF(A769="","",MAX(K$10:K768)+1)</f>
        <v/>
      </c>
      <c r="L769" s="31">
        <f>IFERROR(INDEX($A$11:$A$99922,MATCH(ROW()-10,$K$11:$K$99922,0)),"")</f>
        <v/>
      </c>
    </row>
    <row r="770">
      <c r="A770" s="562"/>
      <c r="B770" s="140"/>
      <c r="C770" s="141"/>
      <c r="D770" s="426"/>
      <c r="E770" s="427" t="s">
        <v>2377</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2409</v>
      </c>
      <c r="F780" s="833"/>
      <c r="G780" s="827"/>
      <c r="H780" s="144"/>
      <c r="I780" s="144"/>
      <c r="K780" s="31">
        <f>IF(A780="","",MAX(K$10:K779)+1)</f>
        <v/>
      </c>
      <c r="L780" s="31">
        <f>IFERROR(INDEX($A$11:$A$99922,MATCH(ROW()-10,$K$11:$K$99922,0)),"")</f>
        <v/>
      </c>
    </row>
    <row r="781">
      <c r="A781" s="562"/>
      <c r="B781" s="140"/>
      <c r="C781" s="141"/>
      <c r="D781" s="426"/>
      <c r="E781" s="427" t="s">
        <v>2377</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2409</v>
      </c>
      <c r="F791" s="833"/>
      <c r="G791" s="827"/>
      <c r="H791" s="144"/>
      <c r="I791" s="144"/>
      <c r="K791" s="31">
        <f>IF(A791="","",MAX(K$10:K790)+1)</f>
        <v/>
      </c>
      <c r="L791" s="31">
        <f>IFERROR(INDEX($A$11:$A$99922,MATCH(ROW()-10,$K$11:$K$99922,0)),"")</f>
        <v/>
      </c>
    </row>
    <row r="792">
      <c r="A792" s="562"/>
      <c r="B792" s="140"/>
      <c r="C792" s="141"/>
      <c r="D792" s="426"/>
      <c r="E792" s="427" t="s">
        <v>2377</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2409</v>
      </c>
      <c r="F802" s="833"/>
      <c r="G802" s="827"/>
      <c r="H802" s="144"/>
      <c r="I802" s="144"/>
      <c r="K802" s="31">
        <f>IF(A802="","",MAX(K$10:K801)+1)</f>
        <v/>
      </c>
      <c r="L802" s="31">
        <f>IFERROR(INDEX($A$11:$A$99922,MATCH(ROW()-10,$K$11:$K$99922,0)),"")</f>
        <v/>
      </c>
    </row>
    <row r="803">
      <c r="A803" s="562"/>
      <c r="B803" s="140"/>
      <c r="C803" s="141"/>
      <c r="D803" s="426"/>
      <c r="E803" s="427" t="s">
        <v>2377</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2409</v>
      </c>
      <c r="F813" s="833"/>
      <c r="G813" s="827"/>
      <c r="H813" s="144"/>
      <c r="I813" s="144"/>
      <c r="K813" s="31">
        <f>IF(A813="","",MAX(K$10:K812)+1)</f>
        <v/>
      </c>
      <c r="L813" s="31">
        <f>IFERROR(INDEX($A$11:$A$99922,MATCH(ROW()-10,$K$11:$K$99922,0)),"")</f>
        <v/>
      </c>
    </row>
    <row r="814">
      <c r="A814" s="562"/>
      <c r="B814" s="140"/>
      <c r="C814" s="141"/>
      <c r="D814" s="426"/>
      <c r="E814" s="427" t="s">
        <v>2377</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2409</v>
      </c>
      <c r="F824" s="833"/>
      <c r="G824" s="827"/>
      <c r="H824" s="144"/>
      <c r="I824" s="144"/>
      <c r="K824" s="31">
        <f>IF(A824="","",MAX(K$10:K823)+1)</f>
        <v/>
      </c>
      <c r="L824" s="31">
        <f>IFERROR(INDEX($A$11:$A$99922,MATCH(ROW()-10,$K$11:$K$99922,0)),"")</f>
        <v/>
      </c>
    </row>
    <row r="825">
      <c r="A825" s="562"/>
      <c r="B825" s="140"/>
      <c r="C825" s="141"/>
      <c r="D825" s="426"/>
      <c r="E825" s="427" t="s">
        <v>2377</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2409</v>
      </c>
      <c r="F835" s="833"/>
      <c r="G835" s="827"/>
      <c r="H835" s="144"/>
      <c r="I835" s="144"/>
      <c r="K835" s="31">
        <f>IF(A835="","",MAX(K$10:K834)+1)</f>
        <v/>
      </c>
      <c r="L835" s="31">
        <f>IFERROR(INDEX($A$11:$A$99922,MATCH(ROW()-10,$K$11:$K$99922,0)),"")</f>
        <v/>
      </c>
    </row>
    <row r="836">
      <c r="A836" s="562"/>
      <c r="B836" s="140"/>
      <c r="C836" s="141"/>
      <c r="D836" s="426"/>
      <c r="E836" s="427" t="s">
        <v>2377</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2409</v>
      </c>
      <c r="F846" s="833"/>
      <c r="G846" s="827"/>
      <c r="H846" s="144"/>
      <c r="I846" s="144"/>
      <c r="K846" s="31">
        <f>IF(A846="","",MAX(K$10:K845)+1)</f>
        <v/>
      </c>
      <c r="L846" s="31">
        <f>IFERROR(INDEX($A$11:$A$99922,MATCH(ROW()-10,$K$11:$K$99922,0)),"")</f>
        <v/>
      </c>
    </row>
    <row r="847">
      <c r="A847" s="562"/>
      <c r="B847" s="140"/>
      <c r="C847" s="141"/>
      <c r="D847" s="426"/>
      <c r="E847" s="427" t="s">
        <v>2377</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2409</v>
      </c>
      <c r="F857" s="833"/>
      <c r="G857" s="827"/>
      <c r="H857" s="144"/>
      <c r="I857" s="144"/>
      <c r="K857" s="31">
        <f>IF(A857="","",MAX(K$10:K856)+1)</f>
        <v/>
      </c>
      <c r="L857" s="31">
        <f>IFERROR(INDEX($A$11:$A$99922,MATCH(ROW()-10,$K$11:$K$99922,0)),"")</f>
        <v/>
      </c>
    </row>
    <row r="858">
      <c r="A858" s="562"/>
      <c r="B858" s="140"/>
      <c r="C858" s="141"/>
      <c r="D858" s="426"/>
      <c r="E858" s="427" t="s">
        <v>2377</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2409</v>
      </c>
      <c r="F868" s="833"/>
      <c r="G868" s="827"/>
      <c r="H868" s="144"/>
      <c r="I868" s="144"/>
      <c r="K868" s="31">
        <f>IF(A868="","",MAX(K$10:K867)+1)</f>
        <v/>
      </c>
      <c r="L868" s="31">
        <f>IFERROR(INDEX($A$11:$A$99922,MATCH(ROW()-10,$K$11:$K$99922,0)),"")</f>
        <v/>
      </c>
    </row>
    <row r="869">
      <c r="A869" s="562"/>
      <c r="B869" s="140"/>
      <c r="C869" s="141"/>
      <c r="D869" s="426"/>
      <c r="E869" s="427" t="s">
        <v>2377</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2409</v>
      </c>
      <c r="F879" s="833"/>
      <c r="G879" s="827"/>
      <c r="H879" s="144"/>
      <c r="I879" s="144"/>
      <c r="K879" s="31">
        <f>IF(A879="","",MAX(K$10:K878)+1)</f>
        <v/>
      </c>
      <c r="L879" s="31">
        <f>IFERROR(INDEX($A$11:$A$99922,MATCH(ROW()-10,$K$11:$K$99922,0)),"")</f>
        <v/>
      </c>
    </row>
    <row r="880">
      <c r="A880" s="562"/>
      <c r="B880" s="140"/>
      <c r="C880" s="141"/>
      <c r="D880" s="426"/>
      <c r="E880" s="427" t="s">
        <v>2377</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2409</v>
      </c>
      <c r="F890" s="833"/>
      <c r="G890" s="827"/>
      <c r="H890" s="144"/>
      <c r="I890" s="144"/>
      <c r="K890" s="31">
        <f>IF(A890="","",MAX(K$10:K889)+1)</f>
        <v/>
      </c>
      <c r="L890" s="31">
        <f>IFERROR(INDEX($A$11:$A$99922,MATCH(ROW()-10,$K$11:$K$99922,0)),"")</f>
        <v/>
      </c>
    </row>
    <row r="891">
      <c r="A891" s="562"/>
      <c r="B891" s="140"/>
      <c r="C891" s="141"/>
      <c r="D891" s="426"/>
      <c r="E891" s="427" t="s">
        <v>2377</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2409</v>
      </c>
      <c r="F901" s="833"/>
      <c r="G901" s="827"/>
      <c r="H901" s="144"/>
      <c r="I901" s="144"/>
      <c r="K901" s="31">
        <f>IF(A901="","",MAX(K$10:K900)+1)</f>
        <v/>
      </c>
      <c r="L901" s="31">
        <f>IFERROR(INDEX($A$11:$A$99922,MATCH(ROW()-10,$K$11:$K$99922,0)),"")</f>
        <v/>
      </c>
    </row>
    <row r="902">
      <c r="A902" s="562"/>
      <c r="B902" s="140"/>
      <c r="C902" s="141"/>
      <c r="D902" s="426"/>
      <c r="E902" s="427" t="s">
        <v>2377</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2409</v>
      </c>
      <c r="F912" s="833"/>
      <c r="G912" s="827"/>
      <c r="H912" s="144"/>
      <c r="I912" s="144"/>
      <c r="K912" s="31">
        <f>IF(A912="","",MAX(K$10:K911)+1)</f>
        <v/>
      </c>
      <c r="L912" s="31">
        <f>IFERROR(INDEX($A$11:$A$99922,MATCH(ROW()-10,$K$11:$K$99922,0)),"")</f>
        <v/>
      </c>
    </row>
    <row r="913">
      <c r="A913" s="562"/>
      <c r="B913" s="140"/>
      <c r="C913" s="141"/>
      <c r="D913" s="426"/>
      <c r="E913" s="427" t="s">
        <v>2377</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2409</v>
      </c>
      <c r="F923" s="833"/>
      <c r="G923" s="827"/>
      <c r="H923" s="144"/>
      <c r="I923" s="144"/>
      <c r="K923" s="31">
        <f>IF(A923="","",MAX(K$10:K922)+1)</f>
        <v/>
      </c>
      <c r="L923" s="31">
        <f>IFERROR(INDEX($A$11:$A$99922,MATCH(ROW()-10,$K$11:$K$99922,0)),"")</f>
        <v/>
      </c>
    </row>
    <row r="924">
      <c r="A924" s="562"/>
      <c r="B924" s="140"/>
      <c r="C924" s="141"/>
      <c r="D924" s="426"/>
      <c r="E924" s="427" t="s">
        <v>2377</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2409</v>
      </c>
      <c r="F934" s="833"/>
      <c r="G934" s="827"/>
      <c r="H934" s="144"/>
      <c r="I934" s="144"/>
      <c r="K934" s="31">
        <f>IF(A934="","",MAX(K$10:K933)+1)</f>
        <v/>
      </c>
      <c r="L934" s="31">
        <f>IFERROR(INDEX($A$11:$A$99922,MATCH(ROW()-10,$K$11:$K$99922,0)),"")</f>
        <v/>
      </c>
    </row>
    <row r="935">
      <c r="A935" s="562"/>
      <c r="B935" s="140"/>
      <c r="C935" s="141"/>
      <c r="D935" s="426"/>
      <c r="E935" s="427" t="s">
        <v>2377</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2409</v>
      </c>
      <c r="F945" s="833"/>
      <c r="G945" s="827"/>
      <c r="H945" s="144"/>
      <c r="I945" s="144"/>
      <c r="K945" s="31">
        <f>IF(A945="","",MAX(K$10:K944)+1)</f>
        <v/>
      </c>
      <c r="L945" s="31">
        <f>IFERROR(INDEX($A$11:$A$99922,MATCH(ROW()-10,$K$11:$K$99922,0)),"")</f>
        <v/>
      </c>
    </row>
    <row r="946">
      <c r="A946" s="562"/>
      <c r="B946" s="140"/>
      <c r="C946" s="141"/>
      <c r="D946" s="426"/>
      <c r="E946" s="427" t="s">
        <v>2377</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2409</v>
      </c>
      <c r="F956" s="833"/>
      <c r="G956" s="827"/>
      <c r="H956" s="144"/>
      <c r="I956" s="144"/>
      <c r="K956" s="31">
        <f>IF(A956="","",MAX(K$10:K955)+1)</f>
        <v/>
      </c>
      <c r="L956" s="31">
        <f>IFERROR(INDEX($A$11:$A$99922,MATCH(ROW()-10,$K$11:$K$99922,0)),"")</f>
        <v/>
      </c>
    </row>
    <row r="957">
      <c r="A957" s="562"/>
      <c r="B957" s="140"/>
      <c r="C957" s="141"/>
      <c r="D957" s="426"/>
      <c r="E957" s="427" t="s">
        <v>2377</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2409</v>
      </c>
      <c r="F967" s="833"/>
      <c r="G967" s="827"/>
      <c r="H967" s="144"/>
      <c r="I967" s="144"/>
      <c r="K967" s="31">
        <f>IF(A967="","",MAX(K$10:K966)+1)</f>
        <v/>
      </c>
      <c r="L967" s="31">
        <f>IFERROR(INDEX($A$11:$A$99922,MATCH(ROW()-10,$K$11:$K$99922,0)),"")</f>
        <v/>
      </c>
    </row>
    <row r="968">
      <c r="A968" s="562"/>
      <c r="B968" s="140"/>
      <c r="C968" s="141"/>
      <c r="D968" s="426"/>
      <c r="E968" s="427" t="s">
        <v>2377</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2409</v>
      </c>
      <c r="F978" s="833"/>
      <c r="G978" s="827"/>
      <c r="H978" s="144"/>
      <c r="I978" s="144"/>
      <c r="K978" s="31">
        <f>IF(A978="","",MAX(K$10:K977)+1)</f>
        <v/>
      </c>
      <c r="L978" s="31">
        <f>IFERROR(INDEX($A$11:$A$99922,MATCH(ROW()-10,$K$11:$K$99922,0)),"")</f>
        <v/>
      </c>
    </row>
    <row r="979">
      <c r="A979" s="562"/>
      <c r="B979" s="140"/>
      <c r="C979" s="141"/>
      <c r="D979" s="426"/>
      <c r="E979" s="427" t="s">
        <v>2377</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2409</v>
      </c>
      <c r="F989" s="833"/>
      <c r="G989" s="827"/>
      <c r="H989" s="144"/>
      <c r="I989" s="144"/>
      <c r="K989" s="31">
        <f>IF(A989="","",MAX(K$10:K988)+1)</f>
        <v/>
      </c>
      <c r="L989" s="31">
        <f>IFERROR(INDEX($A$11:$A$99922,MATCH(ROW()-10,$K$11:$K$99922,0)),"")</f>
        <v/>
      </c>
    </row>
    <row r="990">
      <c r="A990" s="562"/>
      <c r="B990" s="140"/>
      <c r="C990" s="141"/>
      <c r="D990" s="426"/>
      <c r="E990" s="427" t="s">
        <v>2377</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2409</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EC-AC64" error="壁の種類に不正な値が入力されています。選択項目から選択してください。" type="list" errorStyle="warning">
      <formula1>data!$G$2:$G$3</formula1>
    </dataValidation>
    <dataValidation sqref="D11:D1010" showErrorMessage="1" showInputMessage="1" allowBlank="1" errorTitle="EC-AC73" error="建材番号に不正な値が入力されています。選択項目から選択してください。" type="list" errorStyle="warning">
      <formula1>data!$H$2:$H$86</formula1>
    </dataValidation>
    <dataValidation sqref="E11:E1010" showErrorMessage="1" showInputMessage="1" allowBlank="1" errorTitle="EC-AC74"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2541</v>
      </c>
    </row>
    <row r="2" ht="19" customHeight="1">
      <c r="A2" s="31"/>
      <c r="B2" s="31"/>
      <c r="C2" s="31"/>
      <c r="D2" s="408"/>
      <c r="E2" s="408"/>
      <c r="F2" s="408"/>
      <c r="G2" s="408"/>
      <c r="H2" s="31"/>
      <c r="K2" s="31" t="s">
        <v>2542</v>
      </c>
    </row>
    <row r="3" ht="17.25" customHeight="1" s="32" customFormat="1">
      <c r="A3" s="428" t="s">
        <v>2100</v>
      </c>
      <c r="B3" s="429" t="s">
        <v>2103</v>
      </c>
      <c r="C3" s="430" t="s">
        <v>2106</v>
      </c>
      <c r="D3" s="914" t="s">
        <v>2543</v>
      </c>
      <c r="E3" s="915"/>
      <c r="F3" s="915"/>
      <c r="G3" s="915"/>
      <c r="H3" s="776" t="s">
        <v>2128</v>
      </c>
      <c r="K3" s="32" t="s">
        <v>2544</v>
      </c>
    </row>
    <row r="4" ht="17.25" customHeight="1" s="32" customFormat="1">
      <c r="A4" s="431"/>
      <c r="B4" s="432"/>
      <c r="C4" s="433"/>
      <c r="D4" s="568" t="s">
        <v>2109</v>
      </c>
      <c r="E4" s="916" t="s">
        <v>2545</v>
      </c>
      <c r="F4" s="915"/>
      <c r="G4" s="915"/>
      <c r="H4" s="431"/>
      <c r="K4" s="32" t="s">
        <v>2546</v>
      </c>
    </row>
    <row r="5" ht="15.75" customHeight="1" s="32" customFormat="1">
      <c r="A5" s="431" t="s">
        <v>2547</v>
      </c>
      <c r="B5" s="432" t="s">
        <v>2548</v>
      </c>
      <c r="C5" s="433" t="s">
        <v>2548</v>
      </c>
      <c r="D5" s="356"/>
      <c r="E5" s="570" t="s">
        <v>2116</v>
      </c>
      <c r="F5" s="434" t="s">
        <v>2119</v>
      </c>
      <c r="G5" s="768" t="s">
        <v>2122</v>
      </c>
      <c r="H5" s="777" t="s">
        <v>2158</v>
      </c>
      <c r="K5" s="32" t="s">
        <v>2549</v>
      </c>
    </row>
    <row r="6" ht="5.25" customHeight="1" s="32" customFormat="1">
      <c r="A6" s="435"/>
      <c r="B6" s="436"/>
      <c r="C6" s="437"/>
      <c r="D6" s="436"/>
      <c r="E6" s="437"/>
      <c r="F6" s="232"/>
      <c r="G6" s="437"/>
      <c r="H6" s="435"/>
      <c r="K6" s="32" t="s">
        <v>2550</v>
      </c>
    </row>
    <row r="7" s="32" customFormat="1">
      <c r="A7" s="438"/>
      <c r="B7" s="432" t="s">
        <v>2353</v>
      </c>
      <c r="C7" s="433" t="s">
        <v>2551</v>
      </c>
      <c r="D7" s="549" t="s">
        <v>2552</v>
      </c>
      <c r="E7" s="569" t="s">
        <v>2553</v>
      </c>
      <c r="F7" s="439" t="s">
        <v>2353</v>
      </c>
      <c r="G7" s="769" t="s">
        <v>2551</v>
      </c>
      <c r="H7" s="438"/>
      <c r="K7" s="32" t="s">
        <v>2554</v>
      </c>
    </row>
    <row r="8" ht="21.75" customHeight="1" s="32" customFormat="1">
      <c r="A8" s="431"/>
      <c r="B8" s="440"/>
      <c r="C8" s="234"/>
      <c r="D8" s="356"/>
      <c r="E8" s="982"/>
      <c r="F8" s="448" t="s">
        <v>2555</v>
      </c>
      <c r="G8" s="982" t="s">
        <v>2368</v>
      </c>
      <c r="H8" s="431"/>
      <c r="K8" s="32" t="s">
        <v>2556</v>
      </c>
    </row>
    <row r="9" s="32" customFormat="1">
      <c r="A9" s="431"/>
      <c r="B9" s="440" t="s">
        <v>2365</v>
      </c>
      <c r="C9" s="234" t="s">
        <v>2368</v>
      </c>
      <c r="D9" s="356" t="s">
        <v>2557</v>
      </c>
      <c r="E9" s="982" t="s">
        <v>2557</v>
      </c>
      <c r="F9" s="441" t="s">
        <v>2558</v>
      </c>
      <c r="G9" s="983" t="s">
        <v>2558</v>
      </c>
      <c r="H9" s="431"/>
      <c r="K9" s="32" t="s">
        <v>2559</v>
      </c>
    </row>
    <row r="10" ht="2.75" customHeight="1">
      <c r="A10" s="442"/>
      <c r="B10" s="443"/>
      <c r="C10" s="444"/>
      <c r="D10" s="445"/>
      <c r="E10" s="446"/>
      <c r="F10" s="447"/>
      <c r="G10" s="766"/>
      <c r="H10" s="442"/>
      <c r="K10" s="608" t="s">
        <v>2560</v>
      </c>
    </row>
    <row r="11" ht="16.5" customHeight="1">
      <c r="A11" s="619" t="s">
        <v>2561</v>
      </c>
      <c r="B11" s="620" t="s">
        <v>2173</v>
      </c>
      <c r="C11" s="621" t="s">
        <v>2173</v>
      </c>
      <c r="D11" s="778" t="s">
        <v>2562</v>
      </c>
      <c r="E11" s="622" t="s">
        <v>2563</v>
      </c>
      <c r="F11" s="622" t="s">
        <v>2173</v>
      </c>
      <c r="G11" s="622" t="s">
        <v>2173</v>
      </c>
      <c r="H11" s="619" t="s">
        <v>2173</v>
      </c>
      <c r="I11" s="31">
        <f>IF(A11="","",MAX(I$10:I10)+1)</f>
        <v/>
      </c>
      <c r="J11" s="31">
        <f>IFERROR(INDEX($A$11:$A$100000,MATCH(ROW()-10,$I$11:$I$100000,0)),"")</f>
        <v/>
      </c>
      <c r="K11" s="608" t="s">
        <v>2564</v>
      </c>
    </row>
    <row r="12" ht="16.5" customHeight="1">
      <c r="A12" s="626"/>
      <c r="B12" s="624"/>
      <c r="C12" s="625"/>
      <c r="D12" s="778"/>
      <c r="E12" s="622"/>
      <c r="F12" s="622"/>
      <c r="G12" s="622"/>
      <c r="H12" s="623"/>
      <c r="I12" s="31">
        <f>IF(A12="","",MAX(I$10:I11)+1)</f>
        <v/>
      </c>
      <c r="J12" s="31">
        <f>IFERROR(INDEX($A$11:$A$100000,MATCH(ROW()-10,$I$11:$I$100000,0)),"")</f>
        <v/>
      </c>
      <c r="K12" s="608" t="s">
        <v>2565</v>
      </c>
    </row>
    <row r="13" ht="16.5" customHeight="1">
      <c r="A13" s="623"/>
      <c r="B13" s="624"/>
      <c r="C13" s="625"/>
      <c r="D13" s="778"/>
      <c r="E13" s="622"/>
      <c r="F13" s="622"/>
      <c r="G13" s="622"/>
      <c r="H13" s="623"/>
      <c r="I13" s="31">
        <f>IF(A13="","",MAX(I$10:I12)+1)</f>
        <v/>
      </c>
      <c r="J13" s="31">
        <f>IFERROR(INDEX($A$11:$A$100000,MATCH(ROW()-10,$I$11:$I$100000,0)),"")</f>
        <v/>
      </c>
      <c r="K13" s="608" t="s">
        <v>2566</v>
      </c>
    </row>
    <row r="14" ht="16.5" customHeight="1">
      <c r="A14" s="623"/>
      <c r="B14" s="624"/>
      <c r="C14" s="625"/>
      <c r="D14" s="778"/>
      <c r="E14" s="622"/>
      <c r="F14" s="622"/>
      <c r="G14" s="622"/>
      <c r="H14" s="623"/>
      <c r="I14" s="31">
        <f>IF(A14="","",MAX(I$10:I13)+1)</f>
        <v/>
      </c>
      <c r="J14" s="31">
        <f>IFERROR(INDEX($A$11:$A$100000,MATCH(ROW()-10,$I$11:$I$100000,0)),"")</f>
        <v/>
      </c>
      <c r="K14" s="608" t="s">
        <v>2567</v>
      </c>
    </row>
    <row r="15" ht="16.5" customHeight="1">
      <c r="A15" s="623"/>
      <c r="B15" s="624"/>
      <c r="C15" s="625"/>
      <c r="D15" s="778"/>
      <c r="E15" s="622"/>
      <c r="F15" s="622"/>
      <c r="G15" s="622"/>
      <c r="H15" s="623"/>
      <c r="I15" s="31">
        <f>IF(A15="","",MAX(I$10:I14)+1)</f>
        <v/>
      </c>
      <c r="J15" s="31">
        <f>IFERROR(INDEX($A$11:$A$100000,MATCH(ROW()-10,$I$11:$I$100000,0)),"")</f>
        <v/>
      </c>
      <c r="K15" s="608" t="s">
        <v>2568</v>
      </c>
    </row>
    <row r="16" ht="16.5" customHeight="1">
      <c r="A16" s="623"/>
      <c r="B16" s="624"/>
      <c r="C16" s="625"/>
      <c r="D16" s="778"/>
      <c r="E16" s="622"/>
      <c r="F16" s="622"/>
      <c r="G16" s="622"/>
      <c r="H16" s="623"/>
      <c r="I16" s="31">
        <f>IF(A16="","",MAX(I$10:I15)+1)</f>
        <v/>
      </c>
      <c r="J16" s="31">
        <f>IFERROR(INDEX($A$11:$A$100000,MATCH(ROW()-10,$I$11:$I$100000,0)),"")</f>
        <v/>
      </c>
      <c r="K16" s="608" t="s">
        <v>2569</v>
      </c>
    </row>
    <row r="17" ht="16.5" customHeight="1">
      <c r="A17" s="623"/>
      <c r="B17" s="624"/>
      <c r="C17" s="625"/>
      <c r="D17" s="778"/>
      <c r="E17" s="622"/>
      <c r="F17" s="622"/>
      <c r="G17" s="622"/>
      <c r="H17" s="623"/>
      <c r="I17" s="31">
        <f>IF(A17="","",MAX(I$10:I16)+1)</f>
        <v/>
      </c>
      <c r="J17" s="31">
        <f>IFERROR(INDEX($A$11:$A$100000,MATCH(ROW()-10,$I$11:$I$100000,0)),"")</f>
        <v/>
      </c>
      <c r="K17" s="608" t="s">
        <v>2570</v>
      </c>
    </row>
    <row r="18" ht="16.5" customHeight="1">
      <c r="A18" s="623"/>
      <c r="B18" s="624"/>
      <c r="C18" s="625"/>
      <c r="D18" s="778"/>
      <c r="E18" s="622"/>
      <c r="F18" s="622"/>
      <c r="G18" s="622"/>
      <c r="H18" s="623"/>
      <c r="I18" s="31">
        <f>IF(A18="","",MAX(I$10:I17)+1)</f>
        <v/>
      </c>
      <c r="J18" s="31">
        <f>IFERROR(INDEX($A$11:$A$100000,MATCH(ROW()-10,$I$11:$I$100000,0)),"")</f>
        <v/>
      </c>
      <c r="K18" s="608" t="s">
        <v>2571</v>
      </c>
    </row>
    <row r="19" ht="16.5" customHeight="1">
      <c r="A19" s="623"/>
      <c r="B19" s="624"/>
      <c r="C19" s="625"/>
      <c r="D19" s="778"/>
      <c r="E19" s="622"/>
      <c r="F19" s="622"/>
      <c r="G19" s="622"/>
      <c r="H19" s="623"/>
      <c r="I19" s="31">
        <f>IF(A19="","",MAX(I$10:I18)+1)</f>
        <v/>
      </c>
      <c r="J19" s="31">
        <f>IFERROR(INDEX($A$11:$A$100000,MATCH(ROW()-10,$I$11:$I$100000,0)),"")</f>
        <v/>
      </c>
      <c r="K19" s="608" t="s">
        <v>2572</v>
      </c>
    </row>
    <row r="20" ht="16.5" customHeight="1">
      <c r="A20" s="623"/>
      <c r="B20" s="624"/>
      <c r="C20" s="625"/>
      <c r="D20" s="778"/>
      <c r="E20" s="622"/>
      <c r="F20" s="622"/>
      <c r="G20" s="622"/>
      <c r="H20" s="623"/>
      <c r="I20" s="31">
        <f>IF(A20="","",MAX(I$10:I19)+1)</f>
        <v/>
      </c>
      <c r="J20" s="31">
        <f>IFERROR(INDEX($A$11:$A$100000,MATCH(ROW()-10,$I$11:$I$100000,0)),"")</f>
        <v/>
      </c>
      <c r="K20" s="608" t="s">
        <v>2573</v>
      </c>
    </row>
    <row r="21" ht="16.5" customHeight="1">
      <c r="A21" s="623"/>
      <c r="B21" s="624"/>
      <c r="C21" s="625"/>
      <c r="D21" s="778"/>
      <c r="E21" s="622"/>
      <c r="F21" s="622"/>
      <c r="G21" s="622"/>
      <c r="H21" s="623"/>
      <c r="I21" s="31">
        <f>IF(A21="","",MAX(I$10:I20)+1)</f>
        <v/>
      </c>
      <c r="J21" s="31">
        <f>IFERROR(INDEX($A$11:$A$100000,MATCH(ROW()-10,$I$11:$I$100000,0)),"")</f>
        <v/>
      </c>
      <c r="K21" s="608" t="s">
        <v>2574</v>
      </c>
    </row>
    <row r="22" ht="16.5" customHeight="1">
      <c r="A22" s="623"/>
      <c r="B22" s="624"/>
      <c r="C22" s="625"/>
      <c r="D22" s="778"/>
      <c r="E22" s="622"/>
      <c r="F22" s="622"/>
      <c r="G22" s="622"/>
      <c r="H22" s="623"/>
      <c r="I22" s="31">
        <f>IF(A22="","",MAX(I$10:I21)+1)</f>
        <v/>
      </c>
      <c r="J22" s="31">
        <f>IFERROR(INDEX($A$11:$A$100000,MATCH(ROW()-10,$I$11:$I$100000,0)),"")</f>
        <v/>
      </c>
      <c r="K22" s="608" t="s">
        <v>2575</v>
      </c>
    </row>
    <row r="23" ht="16.5" customHeight="1">
      <c r="A23" s="623"/>
      <c r="B23" s="624"/>
      <c r="C23" s="625"/>
      <c r="D23" s="778"/>
      <c r="E23" s="622"/>
      <c r="F23" s="622"/>
      <c r="G23" s="622"/>
      <c r="H23" s="623"/>
      <c r="I23" s="31">
        <f>IF(A23="","",MAX(I$10:I22)+1)</f>
        <v/>
      </c>
      <c r="J23" s="31">
        <f>IFERROR(INDEX($A$11:$A$100000,MATCH(ROW()-10,$I$11:$I$100000,0)),"")</f>
        <v/>
      </c>
      <c r="K23" s="608" t="s">
        <v>2576</v>
      </c>
    </row>
    <row r="24" ht="16.5" customHeight="1">
      <c r="A24" s="623"/>
      <c r="B24" s="624"/>
      <c r="C24" s="625"/>
      <c r="D24" s="778"/>
      <c r="E24" s="622"/>
      <c r="F24" s="622"/>
      <c r="G24" s="622"/>
      <c r="H24" s="623"/>
      <c r="I24" s="31">
        <f>IF(A24="","",MAX(I$10:I23)+1)</f>
        <v/>
      </c>
      <c r="J24" s="31">
        <f>IFERROR(INDEX($A$11:$A$100000,MATCH(ROW()-10,$I$11:$I$100000,0)),"")</f>
        <v/>
      </c>
      <c r="K24" s="608" t="s">
        <v>2577</v>
      </c>
    </row>
    <row r="25" ht="16.5" customHeight="1">
      <c r="A25" s="623"/>
      <c r="B25" s="624"/>
      <c r="C25" s="625"/>
      <c r="D25" s="778"/>
      <c r="E25" s="622"/>
      <c r="F25" s="622"/>
      <c r="G25" s="622"/>
      <c r="H25" s="623"/>
      <c r="I25" s="31">
        <f>IF(A25="","",MAX(I$10:I24)+1)</f>
        <v/>
      </c>
      <c r="J25" s="31">
        <f>IFERROR(INDEX($A$11:$A$100000,MATCH(ROW()-10,$I$11:$I$100000,0)),"")</f>
        <v/>
      </c>
      <c r="K25" s="608" t="s">
        <v>2578</v>
      </c>
    </row>
    <row r="26" ht="16.5" customHeight="1">
      <c r="A26" s="623"/>
      <c r="B26" s="624"/>
      <c r="C26" s="625"/>
      <c r="D26" s="778"/>
      <c r="E26" s="622"/>
      <c r="F26" s="622"/>
      <c r="G26" s="622"/>
      <c r="H26" s="623"/>
      <c r="I26" s="31">
        <f>IF(A26="","",MAX(I$10:I25)+1)</f>
        <v/>
      </c>
      <c r="J26" s="31">
        <f>IFERROR(INDEX($A$11:$A$100000,MATCH(ROW()-10,$I$11:$I$100000,0)),"")</f>
        <v/>
      </c>
      <c r="K26" s="608" t="s">
        <v>2579</v>
      </c>
    </row>
    <row r="27" ht="16.5" customHeight="1">
      <c r="A27" s="623"/>
      <c r="B27" s="624"/>
      <c r="C27" s="625"/>
      <c r="D27" s="778"/>
      <c r="E27" s="622"/>
      <c r="F27" s="622"/>
      <c r="G27" s="622"/>
      <c r="H27" s="623"/>
      <c r="I27" s="31">
        <f>IF(A27="","",MAX(I$10:I26)+1)</f>
        <v/>
      </c>
      <c r="J27" s="31">
        <f>IFERROR(INDEX($A$11:$A$100000,MATCH(ROW()-10,$I$11:$I$100000,0)),"")</f>
        <v/>
      </c>
      <c r="K27" s="608" t="s">
        <v>2580</v>
      </c>
    </row>
    <row r="28" ht="16.5" customHeight="1">
      <c r="A28" s="623"/>
      <c r="B28" s="624"/>
      <c r="C28" s="625"/>
      <c r="D28" s="778"/>
      <c r="E28" s="622"/>
      <c r="F28" s="622"/>
      <c r="G28" s="622"/>
      <c r="H28" s="623"/>
      <c r="I28" s="31">
        <f>IF(A28="","",MAX(I$10:I27)+1)</f>
        <v/>
      </c>
      <c r="J28" s="31">
        <f>IFERROR(INDEX($A$11:$A$100000,MATCH(ROW()-10,$I$11:$I$100000,0)),"")</f>
        <v/>
      </c>
      <c r="K28" s="608" t="s">
        <v>2581</v>
      </c>
    </row>
    <row r="29" ht="16.5" customHeight="1">
      <c r="A29" s="623"/>
      <c r="B29" s="624"/>
      <c r="C29" s="625"/>
      <c r="D29" s="778"/>
      <c r="E29" s="622"/>
      <c r="F29" s="622"/>
      <c r="G29" s="622"/>
      <c r="H29" s="623"/>
      <c r="I29" s="31">
        <f>IF(A29="","",MAX(I$10:I28)+1)</f>
        <v/>
      </c>
      <c r="J29" s="31">
        <f>IFERROR(INDEX($A$11:$A$100000,MATCH(ROW()-10,$I$11:$I$100000,0)),"")</f>
        <v/>
      </c>
      <c r="K29" s="608" t="s">
        <v>2582</v>
      </c>
    </row>
    <row r="30" ht="16.5" customHeight="1">
      <c r="A30" s="623"/>
      <c r="B30" s="624"/>
      <c r="C30" s="625"/>
      <c r="D30" s="778"/>
      <c r="E30" s="622"/>
      <c r="F30" s="622"/>
      <c r="G30" s="622"/>
      <c r="H30" s="623"/>
      <c r="I30" s="31">
        <f>IF(A30="","",MAX(I$10:I29)+1)</f>
        <v/>
      </c>
      <c r="J30" s="31">
        <f>IFERROR(INDEX($A$11:$A$100000,MATCH(ROW()-10,$I$11:$I$100000,0)),"")</f>
        <v/>
      </c>
      <c r="K30" s="608" t="s">
        <v>2583</v>
      </c>
    </row>
    <row r="31" ht="16.5" customHeight="1">
      <c r="A31" s="623"/>
      <c r="B31" s="624"/>
      <c r="C31" s="625"/>
      <c r="D31" s="778"/>
      <c r="E31" s="622"/>
      <c r="F31" s="622"/>
      <c r="G31" s="622"/>
      <c r="H31" s="623"/>
      <c r="I31" s="31">
        <f>IF(A31="","",MAX(I$10:I30)+1)</f>
        <v/>
      </c>
      <c r="J31" s="31">
        <f>IFERROR(INDEX($A$11:$A$100000,MATCH(ROW()-10,$I$11:$I$100000,0)),"")</f>
        <v/>
      </c>
      <c r="K31" s="608" t="s">
        <v>2584</v>
      </c>
    </row>
    <row r="32" ht="16.5" customHeight="1">
      <c r="A32" s="623"/>
      <c r="B32" s="624"/>
      <c r="C32" s="625"/>
      <c r="D32" s="778"/>
      <c r="E32" s="622"/>
      <c r="F32" s="622"/>
      <c r="G32" s="622"/>
      <c r="H32" s="623"/>
      <c r="I32" s="31">
        <f>IF(A32="","",MAX(I$10:I31)+1)</f>
        <v/>
      </c>
      <c r="J32" s="31">
        <f>IFERROR(INDEX($A$11:$A$100000,MATCH(ROW()-10,$I$11:$I$100000,0)),"")</f>
        <v/>
      </c>
      <c r="K32" s="608" t="s">
        <v>2585</v>
      </c>
    </row>
    <row r="33" ht="16.5" customHeight="1">
      <c r="A33" s="623"/>
      <c r="B33" s="624"/>
      <c r="C33" s="625"/>
      <c r="D33" s="778"/>
      <c r="E33" s="622"/>
      <c r="F33" s="622"/>
      <c r="G33" s="622"/>
      <c r="H33" s="623"/>
      <c r="I33" s="31">
        <f>IF(A33="","",MAX(I$10:I32)+1)</f>
        <v/>
      </c>
      <c r="J33" s="31">
        <f>IFERROR(INDEX($A$11:$A$100000,MATCH(ROW()-10,$I$11:$I$100000,0)),"")</f>
        <v/>
      </c>
      <c r="K33" s="608" t="s">
        <v>2586</v>
      </c>
    </row>
    <row r="34" ht="16.5" customHeight="1">
      <c r="A34" s="623"/>
      <c r="B34" s="624"/>
      <c r="C34" s="625"/>
      <c r="D34" s="778"/>
      <c r="E34" s="622"/>
      <c r="F34" s="622"/>
      <c r="G34" s="622"/>
      <c r="H34" s="623"/>
      <c r="I34" s="31">
        <f>IF(A34="","",MAX(I$10:I33)+1)</f>
        <v/>
      </c>
      <c r="J34" s="31">
        <f>IFERROR(INDEX($A$11:$A$100000,MATCH(ROW()-10,$I$11:$I$100000,0)),"")</f>
        <v/>
      </c>
      <c r="K34" s="608" t="s">
        <v>2587</v>
      </c>
    </row>
    <row r="35" ht="16.5" customHeight="1">
      <c r="A35" s="623"/>
      <c r="B35" s="624"/>
      <c r="C35" s="625"/>
      <c r="D35" s="778"/>
      <c r="E35" s="622"/>
      <c r="F35" s="622"/>
      <c r="G35" s="622"/>
      <c r="H35" s="623"/>
      <c r="I35" s="31">
        <f>IF(A35="","",MAX(I$10:I34)+1)</f>
        <v/>
      </c>
      <c r="J35" s="31">
        <f>IFERROR(INDEX($A$11:$A$100000,MATCH(ROW()-10,$I$11:$I$100000,0)),"")</f>
        <v/>
      </c>
      <c r="K35" s="608" t="s">
        <v>2588</v>
      </c>
    </row>
    <row r="36" ht="16.5" customHeight="1">
      <c r="A36" s="623"/>
      <c r="B36" s="624"/>
      <c r="C36" s="625"/>
      <c r="D36" s="778"/>
      <c r="E36" s="622"/>
      <c r="F36" s="622"/>
      <c r="G36" s="622"/>
      <c r="H36" s="623"/>
      <c r="I36" s="31">
        <f>IF(A36="","",MAX(I$10:I35)+1)</f>
        <v/>
      </c>
      <c r="J36" s="31">
        <f>IFERROR(INDEX($A$11:$A$100000,MATCH(ROW()-10,$I$11:$I$100000,0)),"")</f>
        <v/>
      </c>
      <c r="K36" s="608" t="s">
        <v>2589</v>
      </c>
    </row>
    <row r="37" ht="16.5" customHeight="1">
      <c r="A37" s="623"/>
      <c r="B37" s="624"/>
      <c r="C37" s="625"/>
      <c r="D37" s="778"/>
      <c r="E37" s="622"/>
      <c r="F37" s="622"/>
      <c r="G37" s="622"/>
      <c r="H37" s="623"/>
      <c r="I37" s="31">
        <f>IF(A37="","",MAX(I$10:I36)+1)</f>
        <v/>
      </c>
      <c r="J37" s="31">
        <f>IFERROR(INDEX($A$11:$A$100000,MATCH(ROW()-10,$I$11:$I$100000,0)),"")</f>
        <v/>
      </c>
      <c r="K37" s="608" t="s">
        <v>2590</v>
      </c>
    </row>
    <row r="38" ht="16.5" customHeight="1">
      <c r="A38" s="623"/>
      <c r="B38" s="624"/>
      <c r="C38" s="625"/>
      <c r="D38" s="778"/>
      <c r="E38" s="622"/>
      <c r="F38" s="622"/>
      <c r="G38" s="622"/>
      <c r="H38" s="623"/>
      <c r="I38" s="31">
        <f>IF(A38="","",MAX(I$10:I37)+1)</f>
        <v/>
      </c>
      <c r="J38" s="31">
        <f>IFERROR(INDEX($A$11:$A$100000,MATCH(ROW()-10,$I$11:$I$100000,0)),"")</f>
        <v/>
      </c>
      <c r="K38" s="608" t="s">
        <v>2591</v>
      </c>
    </row>
    <row r="39" ht="16.5" customHeight="1">
      <c r="A39" s="623"/>
      <c r="B39" s="624"/>
      <c r="C39" s="625"/>
      <c r="D39" s="778"/>
      <c r="E39" s="622"/>
      <c r="F39" s="622"/>
      <c r="G39" s="622"/>
      <c r="H39" s="623"/>
      <c r="I39" s="31">
        <f>IF(A39="","",MAX(I$10:I38)+1)</f>
        <v/>
      </c>
      <c r="J39" s="31">
        <f>IFERROR(INDEX($A$11:$A$100000,MATCH(ROW()-10,$I$11:$I$100000,0)),"")</f>
        <v/>
      </c>
      <c r="K39" s="608" t="s">
        <v>2592</v>
      </c>
    </row>
    <row r="40" ht="16.5" customHeight="1">
      <c r="A40" s="623"/>
      <c r="B40" s="624"/>
      <c r="C40" s="625"/>
      <c r="D40" s="778"/>
      <c r="E40" s="622"/>
      <c r="F40" s="622"/>
      <c r="G40" s="622"/>
      <c r="H40" s="623"/>
      <c r="I40" s="31">
        <f>IF(A40="","",MAX(I$10:I39)+1)</f>
        <v/>
      </c>
      <c r="J40" s="31">
        <f>IFERROR(INDEX($A$11:$A$100000,MATCH(ROW()-10,$I$11:$I$100000,0)),"")</f>
        <v/>
      </c>
      <c r="K40" s="608" t="s">
        <v>2593</v>
      </c>
    </row>
    <row r="41" ht="16.5" customHeight="1">
      <c r="A41" s="623"/>
      <c r="B41" s="624"/>
      <c r="C41" s="625"/>
      <c r="D41" s="778"/>
      <c r="E41" s="622"/>
      <c r="F41" s="622"/>
      <c r="G41" s="622"/>
      <c r="H41" s="623"/>
      <c r="I41" s="31">
        <f>IF(A41="","",MAX(I$10:I40)+1)</f>
        <v/>
      </c>
      <c r="J41" s="31">
        <f>IFERROR(INDEX($A$11:$A$100000,MATCH(ROW()-10,$I$11:$I$100000,0)),"")</f>
        <v/>
      </c>
      <c r="K41" s="608" t="s">
        <v>2594</v>
      </c>
    </row>
    <row r="42" ht="16.5" customHeight="1">
      <c r="A42" s="623"/>
      <c r="B42" s="624"/>
      <c r="C42" s="625"/>
      <c r="D42" s="778"/>
      <c r="E42" s="622"/>
      <c r="F42" s="622"/>
      <c r="G42" s="622"/>
      <c r="H42" s="623"/>
      <c r="I42" s="31">
        <f>IF(A42="","",MAX(I$10:I41)+1)</f>
        <v/>
      </c>
      <c r="J42" s="31">
        <f>IFERROR(INDEX($A$11:$A$100000,MATCH(ROW()-10,$I$11:$I$100000,0)),"")</f>
        <v/>
      </c>
      <c r="K42" s="608" t="s">
        <v>2595</v>
      </c>
    </row>
    <row r="43" ht="16.5" customHeight="1">
      <c r="A43" s="623"/>
      <c r="B43" s="624"/>
      <c r="C43" s="625"/>
      <c r="D43" s="778"/>
      <c r="E43" s="622"/>
      <c r="F43" s="622"/>
      <c r="G43" s="622"/>
      <c r="H43" s="623"/>
      <c r="I43" s="31">
        <f>IF(A43="","",MAX(I$10:I42)+1)</f>
        <v/>
      </c>
      <c r="J43" s="31">
        <f>IFERROR(INDEX($A$11:$A$100000,MATCH(ROW()-10,$I$11:$I$100000,0)),"")</f>
        <v/>
      </c>
      <c r="K43" s="608" t="s">
        <v>2596</v>
      </c>
    </row>
    <row r="44" ht="16.5" customHeight="1">
      <c r="A44" s="623"/>
      <c r="B44" s="624"/>
      <c r="C44" s="625"/>
      <c r="D44" s="778"/>
      <c r="E44" s="622"/>
      <c r="F44" s="622"/>
      <c r="G44" s="622"/>
      <c r="H44" s="623"/>
      <c r="I44" s="31">
        <f>IF(A44="","",MAX(I$10:I43)+1)</f>
        <v/>
      </c>
      <c r="J44" s="31">
        <f>IFERROR(INDEX($A$11:$A$100000,MATCH(ROW()-10,$I$11:$I$100000,0)),"")</f>
        <v/>
      </c>
      <c r="K44" s="608" t="s">
        <v>2597</v>
      </c>
    </row>
    <row r="45" ht="16.5" customHeight="1">
      <c r="A45" s="623"/>
      <c r="B45" s="624"/>
      <c r="C45" s="625"/>
      <c r="D45" s="778"/>
      <c r="E45" s="622"/>
      <c r="F45" s="622"/>
      <c r="G45" s="622"/>
      <c r="H45" s="623"/>
      <c r="I45" s="31">
        <f>IF(A45="","",MAX(I$10:I44)+1)</f>
        <v/>
      </c>
      <c r="J45" s="31">
        <f>IFERROR(INDEX($A$11:$A$100000,MATCH(ROW()-10,$I$11:$I$100000,0)),"")</f>
        <v/>
      </c>
      <c r="K45" s="608" t="s">
        <v>2598</v>
      </c>
    </row>
    <row r="46" ht="16.5" customHeight="1">
      <c r="A46" s="623"/>
      <c r="B46" s="624"/>
      <c r="C46" s="625"/>
      <c r="D46" s="778"/>
      <c r="E46" s="622"/>
      <c r="F46" s="622"/>
      <c r="G46" s="622"/>
      <c r="H46" s="623"/>
      <c r="I46" s="31">
        <f>IF(A46="","",MAX(I$10:I45)+1)</f>
        <v/>
      </c>
      <c r="J46" s="31">
        <f>IFERROR(INDEX($A$11:$A$100000,MATCH(ROW()-10,$I$11:$I$100000,0)),"")</f>
        <v/>
      </c>
      <c r="K46" s="608" t="s">
        <v>2599</v>
      </c>
    </row>
    <row r="47" ht="16.5" customHeight="1">
      <c r="A47" s="623"/>
      <c r="B47" s="624"/>
      <c r="C47" s="625"/>
      <c r="D47" s="778"/>
      <c r="E47" s="622"/>
      <c r="F47" s="622"/>
      <c r="G47" s="622"/>
      <c r="H47" s="623"/>
      <c r="I47" s="31">
        <f>IF(A47="","",MAX(I$10:I46)+1)</f>
        <v/>
      </c>
      <c r="J47" s="31">
        <f>IFERROR(INDEX($A$11:$A$100000,MATCH(ROW()-10,$I$11:$I$100000,0)),"")</f>
        <v/>
      </c>
      <c r="K47" s="608" t="s">
        <v>2600</v>
      </c>
    </row>
    <row r="48" ht="16.5" customHeight="1">
      <c r="A48" s="623"/>
      <c r="B48" s="624"/>
      <c r="C48" s="625"/>
      <c r="D48" s="778"/>
      <c r="E48" s="622"/>
      <c r="F48" s="622"/>
      <c r="G48" s="622"/>
      <c r="H48" s="623"/>
      <c r="I48" s="31">
        <f>IF(A48="","",MAX(I$10:I47)+1)</f>
        <v/>
      </c>
      <c r="J48" s="31">
        <f>IFERROR(INDEX($A$11:$A$100000,MATCH(ROW()-10,$I$11:$I$100000,0)),"")</f>
        <v/>
      </c>
      <c r="K48" s="608" t="s">
        <v>2601</v>
      </c>
    </row>
    <row r="49" ht="16.5" customHeight="1">
      <c r="A49" s="623"/>
      <c r="B49" s="624"/>
      <c r="C49" s="625"/>
      <c r="D49" s="778"/>
      <c r="E49" s="622"/>
      <c r="F49" s="622"/>
      <c r="G49" s="622"/>
      <c r="H49" s="623"/>
      <c r="I49" s="31">
        <f>IF(A49="","",MAX(I$10:I48)+1)</f>
        <v/>
      </c>
      <c r="J49" s="31">
        <f>IFERROR(INDEX($A$11:$A$100000,MATCH(ROW()-10,$I$11:$I$100000,0)),"")</f>
        <v/>
      </c>
      <c r="K49" s="608" t="s">
        <v>2602</v>
      </c>
    </row>
    <row r="50" ht="16.5" customHeight="1">
      <c r="A50" s="623"/>
      <c r="B50" s="624"/>
      <c r="C50" s="625"/>
      <c r="D50" s="778"/>
      <c r="E50" s="622"/>
      <c r="F50" s="622"/>
      <c r="G50" s="622"/>
      <c r="H50" s="623"/>
      <c r="I50" s="31">
        <f>IF(A50="","",MAX(I$10:I49)+1)</f>
        <v/>
      </c>
      <c r="J50" s="31">
        <f>IFERROR(INDEX($A$11:$A$100000,MATCH(ROW()-10,$I$11:$I$100000,0)),"")</f>
        <v/>
      </c>
      <c r="K50" s="608" t="s">
        <v>2603</v>
      </c>
    </row>
    <row r="51" ht="16.5" customHeight="1">
      <c r="A51" s="623"/>
      <c r="B51" s="624"/>
      <c r="C51" s="625"/>
      <c r="D51" s="778"/>
      <c r="E51" s="622"/>
      <c r="F51" s="622"/>
      <c r="G51" s="622"/>
      <c r="H51" s="623"/>
      <c r="I51" s="31">
        <f>IF(A51="","",MAX(I$10:I50)+1)</f>
        <v/>
      </c>
      <c r="J51" s="31">
        <f>IFERROR(INDEX($A$11:$A$100000,MATCH(ROW()-10,$I$11:$I$100000,0)),"")</f>
        <v/>
      </c>
      <c r="K51" s="608" t="s">
        <v>2604</v>
      </c>
    </row>
    <row r="52" ht="16.5" customHeight="1">
      <c r="A52" s="623"/>
      <c r="B52" s="624"/>
      <c r="C52" s="625"/>
      <c r="D52" s="778"/>
      <c r="E52" s="622"/>
      <c r="F52" s="622"/>
      <c r="G52" s="622"/>
      <c r="H52" s="623"/>
      <c r="I52" s="31">
        <f>IF(A52="","",MAX(I$10:I51)+1)</f>
        <v/>
      </c>
      <c r="J52" s="31">
        <f>IFERROR(INDEX($A$11:$A$100000,MATCH(ROW()-10,$I$11:$I$100000,0)),"")</f>
        <v/>
      </c>
      <c r="K52" s="608" t="s">
        <v>2605</v>
      </c>
    </row>
    <row r="53" ht="16.5" customHeight="1">
      <c r="A53" s="623"/>
      <c r="B53" s="624"/>
      <c r="C53" s="625"/>
      <c r="D53" s="778"/>
      <c r="E53" s="622"/>
      <c r="F53" s="622"/>
      <c r="G53" s="622"/>
      <c r="H53" s="623"/>
      <c r="I53" s="31">
        <f>IF(A53="","",MAX(I$10:I52)+1)</f>
        <v/>
      </c>
      <c r="J53" s="31">
        <f>IFERROR(INDEX($A$11:$A$100000,MATCH(ROW()-10,$I$11:$I$100000,0)),"")</f>
        <v/>
      </c>
      <c r="K53" s="608" t="s">
        <v>2606</v>
      </c>
    </row>
    <row r="54" ht="16.5" customHeight="1">
      <c r="A54" s="623"/>
      <c r="B54" s="624"/>
      <c r="C54" s="625"/>
      <c r="D54" s="778"/>
      <c r="E54" s="622"/>
      <c r="F54" s="622"/>
      <c r="G54" s="622"/>
      <c r="H54" s="623"/>
      <c r="I54" s="31">
        <f>IF(A54="","",MAX(I$10:I53)+1)</f>
        <v/>
      </c>
      <c r="J54" s="31">
        <f>IFERROR(INDEX($A$11:$A$100000,MATCH(ROW()-10,$I$11:$I$100000,0)),"")</f>
        <v/>
      </c>
      <c r="K54" s="608" t="s">
        <v>2607</v>
      </c>
    </row>
    <row r="55" ht="16.5" customHeight="1">
      <c r="A55" s="623"/>
      <c r="B55" s="624"/>
      <c r="C55" s="625"/>
      <c r="D55" s="778"/>
      <c r="E55" s="622"/>
      <c r="F55" s="622"/>
      <c r="G55" s="622"/>
      <c r="H55" s="623"/>
      <c r="I55" s="31">
        <f>IF(A55="","",MAX(I$10:I54)+1)</f>
        <v/>
      </c>
      <c r="J55" s="31">
        <f>IFERROR(INDEX($A$11:$A$100000,MATCH(ROW()-10,$I$11:$I$100000,0)),"")</f>
        <v/>
      </c>
      <c r="K55" s="608" t="s">
        <v>2608</v>
      </c>
    </row>
    <row r="56" ht="16.5" customHeight="1">
      <c r="A56" s="623"/>
      <c r="B56" s="624"/>
      <c r="C56" s="625"/>
      <c r="D56" s="778"/>
      <c r="E56" s="622"/>
      <c r="F56" s="622"/>
      <c r="G56" s="622"/>
      <c r="H56" s="623"/>
      <c r="I56" s="31">
        <f>IF(A56="","",MAX(I$10:I55)+1)</f>
        <v/>
      </c>
      <c r="J56" s="31">
        <f>IFERROR(INDEX($A$11:$A$100000,MATCH(ROW()-10,$I$11:$I$100000,0)),"")</f>
        <v/>
      </c>
      <c r="K56" s="608" t="s">
        <v>2609</v>
      </c>
    </row>
    <row r="57" ht="16.5" customHeight="1">
      <c r="A57" s="623"/>
      <c r="B57" s="624"/>
      <c r="C57" s="625"/>
      <c r="D57" s="778"/>
      <c r="E57" s="622"/>
      <c r="F57" s="622"/>
      <c r="G57" s="622"/>
      <c r="H57" s="623"/>
      <c r="I57" s="31">
        <f>IF(A57="","",MAX(I$10:I56)+1)</f>
        <v/>
      </c>
      <c r="J57" s="31">
        <f>IFERROR(INDEX($A$11:$A$100000,MATCH(ROW()-10,$I$11:$I$100000,0)),"")</f>
        <v/>
      </c>
      <c r="K57" s="608" t="s">
        <v>2610</v>
      </c>
    </row>
    <row r="58" ht="16.5" customHeight="1">
      <c r="A58" s="623"/>
      <c r="B58" s="624"/>
      <c r="C58" s="625"/>
      <c r="D58" s="778"/>
      <c r="E58" s="622"/>
      <c r="F58" s="622"/>
      <c r="G58" s="622"/>
      <c r="H58" s="623"/>
      <c r="I58" s="31">
        <f>IF(A58="","",MAX(I$10:I57)+1)</f>
        <v/>
      </c>
      <c r="J58" s="31">
        <f>IFERROR(INDEX($A$11:$A$100000,MATCH(ROW()-10,$I$11:$I$100000,0)),"")</f>
        <v/>
      </c>
      <c r="K58" s="608" t="s">
        <v>2611</v>
      </c>
    </row>
    <row r="59" ht="16.5" customHeight="1">
      <c r="A59" s="623"/>
      <c r="B59" s="624"/>
      <c r="C59" s="625"/>
      <c r="D59" s="778"/>
      <c r="E59" s="622"/>
      <c r="F59" s="622"/>
      <c r="G59" s="622"/>
      <c r="H59" s="623"/>
      <c r="I59" s="31">
        <f>IF(A59="","",MAX(I$10:I58)+1)</f>
        <v/>
      </c>
      <c r="J59" s="31">
        <f>IFERROR(INDEX($A$11:$A$100000,MATCH(ROW()-10,$I$11:$I$100000,0)),"")</f>
        <v/>
      </c>
      <c r="K59" s="608" t="s">
        <v>2612</v>
      </c>
    </row>
    <row r="60" ht="16.5" customHeight="1">
      <c r="A60" s="623"/>
      <c r="B60" s="624"/>
      <c r="C60" s="625"/>
      <c r="D60" s="778"/>
      <c r="E60" s="622"/>
      <c r="F60" s="622"/>
      <c r="G60" s="622"/>
      <c r="H60" s="623"/>
      <c r="I60" s="31">
        <f>IF(A60="","",MAX(I$10:I59)+1)</f>
        <v/>
      </c>
      <c r="J60" s="31">
        <f>IFERROR(INDEX($A$11:$A$100000,MATCH(ROW()-10,$I$11:$I$100000,0)),"")</f>
        <v/>
      </c>
      <c r="K60" s="608" t="s">
        <v>2613</v>
      </c>
    </row>
    <row r="61" ht="16.5" customHeight="1">
      <c r="A61" s="623"/>
      <c r="B61" s="624"/>
      <c r="C61" s="625"/>
      <c r="D61" s="778"/>
      <c r="E61" s="622"/>
      <c r="F61" s="622"/>
      <c r="G61" s="622"/>
      <c r="H61" s="623"/>
      <c r="I61" s="31">
        <f>IF(A61="","",MAX(I$10:I60)+1)</f>
        <v/>
      </c>
      <c r="J61" s="31">
        <f>IFERROR(INDEX($A$11:$A$100000,MATCH(ROW()-10,$I$11:$I$100000,0)),"")</f>
        <v/>
      </c>
      <c r="K61" s="608" t="s">
        <v>2614</v>
      </c>
    </row>
    <row r="62" ht="16.5" customHeight="1">
      <c r="A62" s="623"/>
      <c r="B62" s="624"/>
      <c r="C62" s="625"/>
      <c r="D62" s="778"/>
      <c r="E62" s="622"/>
      <c r="F62" s="622"/>
      <c r="G62" s="622"/>
      <c r="H62" s="623"/>
      <c r="I62" s="31">
        <f>IF(A62="","",MAX(I$10:I61)+1)</f>
        <v/>
      </c>
      <c r="J62" s="31">
        <f>IFERROR(INDEX($A$11:$A$100000,MATCH(ROW()-10,$I$11:$I$100000,0)),"")</f>
        <v/>
      </c>
      <c r="K62" s="608" t="s">
        <v>2615</v>
      </c>
    </row>
    <row r="63" ht="16.5" customHeight="1">
      <c r="A63" s="623"/>
      <c r="B63" s="624"/>
      <c r="C63" s="625"/>
      <c r="D63" s="778"/>
      <c r="E63" s="622"/>
      <c r="F63" s="622"/>
      <c r="G63" s="622"/>
      <c r="H63" s="623"/>
      <c r="I63" s="31">
        <f>IF(A63="","",MAX(I$10:I62)+1)</f>
        <v/>
      </c>
      <c r="J63" s="31">
        <f>IFERROR(INDEX($A$11:$A$100000,MATCH(ROW()-10,$I$11:$I$100000,0)),"")</f>
        <v/>
      </c>
      <c r="K63" s="608" t="s">
        <v>2616</v>
      </c>
    </row>
    <row r="64" ht="16.5" customHeight="1">
      <c r="A64" s="623"/>
      <c r="B64" s="624"/>
      <c r="C64" s="625"/>
      <c r="D64" s="778"/>
      <c r="E64" s="622"/>
      <c r="F64" s="622"/>
      <c r="G64" s="622"/>
      <c r="H64" s="623"/>
      <c r="I64" s="31">
        <f>IF(A64="","",MAX(I$10:I63)+1)</f>
        <v/>
      </c>
      <c r="J64" s="31">
        <f>IFERROR(INDEX($A$11:$A$100000,MATCH(ROW()-10,$I$11:$I$100000,0)),"")</f>
        <v/>
      </c>
      <c r="K64" s="608" t="s">
        <v>2617</v>
      </c>
    </row>
    <row r="65" ht="16.5" customHeight="1">
      <c r="A65" s="623"/>
      <c r="B65" s="624"/>
      <c r="C65" s="625"/>
      <c r="D65" s="778"/>
      <c r="E65" s="622"/>
      <c r="F65" s="622"/>
      <c r="G65" s="622"/>
      <c r="H65" s="623"/>
      <c r="I65" s="31">
        <f>IF(A65="","",MAX(I$10:I64)+1)</f>
        <v/>
      </c>
      <c r="J65" s="31">
        <f>IFERROR(INDEX($A$11:$A$100000,MATCH(ROW()-10,$I$11:$I$100000,0)),"")</f>
        <v/>
      </c>
      <c r="K65" s="608" t="s">
        <v>2618</v>
      </c>
    </row>
    <row r="66" ht="16.5" customHeight="1">
      <c r="A66" s="623"/>
      <c r="B66" s="624"/>
      <c r="C66" s="625"/>
      <c r="D66" s="778"/>
      <c r="E66" s="622"/>
      <c r="F66" s="622"/>
      <c r="G66" s="622"/>
      <c r="H66" s="623"/>
      <c r="I66" s="31">
        <f>IF(A66="","",MAX(I$10:I65)+1)</f>
        <v/>
      </c>
      <c r="J66" s="31">
        <f>IFERROR(INDEX($A$11:$A$100000,MATCH(ROW()-10,$I$11:$I$100000,0)),"")</f>
        <v/>
      </c>
      <c r="K66" s="608" t="s">
        <v>2619</v>
      </c>
    </row>
    <row r="67" ht="16.5" customHeight="1">
      <c r="A67" s="623"/>
      <c r="B67" s="624"/>
      <c r="C67" s="625"/>
      <c r="D67" s="778"/>
      <c r="E67" s="622"/>
      <c r="F67" s="622"/>
      <c r="G67" s="622"/>
      <c r="H67" s="623"/>
      <c r="I67" s="31">
        <f>IF(A67="","",MAX(I$10:I66)+1)</f>
        <v/>
      </c>
      <c r="J67" s="31">
        <f>IFERROR(INDEX($A$11:$A$100000,MATCH(ROW()-10,$I$11:$I$100000,0)),"")</f>
        <v/>
      </c>
      <c r="K67" s="608" t="s">
        <v>2620</v>
      </c>
    </row>
    <row r="68" ht="16.5" customHeight="1">
      <c r="A68" s="623"/>
      <c r="B68" s="624"/>
      <c r="C68" s="625"/>
      <c r="D68" s="778"/>
      <c r="E68" s="622"/>
      <c r="F68" s="622"/>
      <c r="G68" s="622"/>
      <c r="H68" s="623"/>
      <c r="I68" s="31">
        <f>IF(A68="","",MAX(I$10:I67)+1)</f>
        <v/>
      </c>
      <c r="J68" s="31">
        <f>IFERROR(INDEX($A$11:$A$100000,MATCH(ROW()-10,$I$11:$I$100000,0)),"")</f>
        <v/>
      </c>
      <c r="K68" s="608" t="s">
        <v>2621</v>
      </c>
    </row>
    <row r="69" ht="16.5" customHeight="1">
      <c r="A69" s="623"/>
      <c r="B69" s="624"/>
      <c r="C69" s="625"/>
      <c r="D69" s="778"/>
      <c r="E69" s="622"/>
      <c r="F69" s="622"/>
      <c r="G69" s="622"/>
      <c r="H69" s="623"/>
      <c r="I69" s="31">
        <f>IF(A69="","",MAX(I$10:I68)+1)</f>
        <v/>
      </c>
      <c r="J69" s="31">
        <f>IFERROR(INDEX($A$11:$A$100000,MATCH(ROW()-10,$I$11:$I$100000,0)),"")</f>
        <v/>
      </c>
      <c r="K69" s="608" t="s">
        <v>2622</v>
      </c>
    </row>
    <row r="70" ht="16.5" customHeight="1">
      <c r="A70" s="623"/>
      <c r="B70" s="624"/>
      <c r="C70" s="625"/>
      <c r="D70" s="778"/>
      <c r="E70" s="622"/>
      <c r="F70" s="622"/>
      <c r="G70" s="622"/>
      <c r="H70" s="623"/>
      <c r="I70" s="31">
        <f>IF(A70="","",MAX(I$10:I69)+1)</f>
        <v/>
      </c>
      <c r="J70" s="31">
        <f>IFERROR(INDEX($A$11:$A$100000,MATCH(ROW()-10,$I$11:$I$100000,0)),"")</f>
        <v/>
      </c>
      <c r="K70" s="608" t="s">
        <v>2623</v>
      </c>
    </row>
    <row r="71" ht="16.5" customHeight="1">
      <c r="A71" s="623"/>
      <c r="B71" s="624"/>
      <c r="C71" s="625"/>
      <c r="D71" s="778"/>
      <c r="E71" s="622"/>
      <c r="F71" s="622"/>
      <c r="G71" s="622"/>
      <c r="H71" s="623"/>
      <c r="I71" s="31">
        <f>IF(A71="","",MAX(I$10:I70)+1)</f>
        <v/>
      </c>
      <c r="J71" s="31">
        <f>IFERROR(INDEX($A$11:$A$100000,MATCH(ROW()-10,$I$11:$I$100000,0)),"")</f>
        <v/>
      </c>
      <c r="K71" s="608" t="s">
        <v>2624</v>
      </c>
    </row>
    <row r="72" ht="16.5" customHeight="1">
      <c r="A72" s="623"/>
      <c r="B72" s="624"/>
      <c r="C72" s="625"/>
      <c r="D72" s="778"/>
      <c r="E72" s="622"/>
      <c r="F72" s="622"/>
      <c r="G72" s="622"/>
      <c r="H72" s="623"/>
      <c r="I72" s="31">
        <f>IF(A72="","",MAX(I$10:I71)+1)</f>
        <v/>
      </c>
      <c r="J72" s="31">
        <f>IFERROR(INDEX($A$11:$A$100000,MATCH(ROW()-10,$I$11:$I$100000,0)),"")</f>
        <v/>
      </c>
      <c r="K72" s="608" t="s">
        <v>2625</v>
      </c>
    </row>
    <row r="73" ht="16.5" customHeight="1">
      <c r="A73" s="623"/>
      <c r="B73" s="624"/>
      <c r="C73" s="625"/>
      <c r="D73" s="778"/>
      <c r="E73" s="622"/>
      <c r="F73" s="622"/>
      <c r="G73" s="622"/>
      <c r="H73" s="623"/>
      <c r="I73" s="31">
        <f>IF(A73="","",MAX(I$10:I72)+1)</f>
        <v/>
      </c>
      <c r="J73" s="31">
        <f>IFERROR(INDEX($A$11:$A$100000,MATCH(ROW()-10,$I$11:$I$100000,0)),"")</f>
        <v/>
      </c>
      <c r="K73" s="608" t="s">
        <v>2626</v>
      </c>
    </row>
    <row r="74" ht="16.5" customHeight="1">
      <c r="A74" s="623"/>
      <c r="B74" s="624"/>
      <c r="C74" s="625"/>
      <c r="D74" s="778"/>
      <c r="E74" s="622"/>
      <c r="F74" s="622"/>
      <c r="G74" s="622"/>
      <c r="H74" s="623"/>
      <c r="I74" s="31">
        <f>IF(A74="","",MAX(I$10:I73)+1)</f>
        <v/>
      </c>
      <c r="J74" s="31">
        <f>IFERROR(INDEX($A$11:$A$100000,MATCH(ROW()-10,$I$11:$I$100000,0)),"")</f>
        <v/>
      </c>
      <c r="K74" s="608" t="s">
        <v>2627</v>
      </c>
    </row>
    <row r="75" ht="16.5" customHeight="1">
      <c r="A75" s="623"/>
      <c r="B75" s="624"/>
      <c r="C75" s="625"/>
      <c r="D75" s="778"/>
      <c r="E75" s="622"/>
      <c r="F75" s="622"/>
      <c r="G75" s="622"/>
      <c r="H75" s="623"/>
      <c r="I75" s="31">
        <f>IF(A75="","",MAX(I$10:I74)+1)</f>
        <v/>
      </c>
      <c r="J75" s="31">
        <f>IFERROR(INDEX($A$11:$A$100000,MATCH(ROW()-10,$I$11:$I$100000,0)),"")</f>
        <v/>
      </c>
      <c r="K75" s="608" t="s">
        <v>2628</v>
      </c>
    </row>
    <row r="76" ht="16.5" customHeight="1">
      <c r="A76" s="623"/>
      <c r="B76" s="624"/>
      <c r="C76" s="625"/>
      <c r="D76" s="778"/>
      <c r="E76" s="622"/>
      <c r="F76" s="622"/>
      <c r="G76" s="622"/>
      <c r="H76" s="623"/>
      <c r="I76" s="31">
        <f>IF(A76="","",MAX(I$10:I75)+1)</f>
        <v/>
      </c>
      <c r="J76" s="31">
        <f>IFERROR(INDEX($A$11:$A$100000,MATCH(ROW()-10,$I$11:$I$100000,0)),"")</f>
        <v/>
      </c>
      <c r="K76" s="608" t="s">
        <v>2629</v>
      </c>
    </row>
    <row r="77" ht="16.5" customHeight="1">
      <c r="A77" s="623"/>
      <c r="B77" s="624"/>
      <c r="C77" s="625"/>
      <c r="D77" s="778"/>
      <c r="E77" s="622"/>
      <c r="F77" s="622"/>
      <c r="G77" s="622"/>
      <c r="H77" s="623"/>
      <c r="I77" s="31">
        <f>IF(A77="","",MAX(I$10:I76)+1)</f>
        <v/>
      </c>
      <c r="J77" s="31">
        <f>IFERROR(INDEX($A$11:$A$100000,MATCH(ROW()-10,$I$11:$I$100000,0)),"")</f>
        <v/>
      </c>
      <c r="K77" s="608" t="s">
        <v>2630</v>
      </c>
    </row>
    <row r="78" ht="16.5" customHeight="1">
      <c r="A78" s="623"/>
      <c r="B78" s="624"/>
      <c r="C78" s="625"/>
      <c r="D78" s="778"/>
      <c r="E78" s="622"/>
      <c r="F78" s="622"/>
      <c r="G78" s="622"/>
      <c r="H78" s="623"/>
      <c r="I78" s="31">
        <f>IF(A78="","",MAX(I$10:I77)+1)</f>
        <v/>
      </c>
      <c r="J78" s="31">
        <f>IFERROR(INDEX($A$11:$A$100000,MATCH(ROW()-10,$I$11:$I$100000,0)),"")</f>
        <v/>
      </c>
      <c r="K78" s="608" t="s">
        <v>2631</v>
      </c>
    </row>
    <row r="79" ht="16.5" customHeight="1">
      <c r="A79" s="623"/>
      <c r="B79" s="624"/>
      <c r="C79" s="625"/>
      <c r="D79" s="778"/>
      <c r="E79" s="622"/>
      <c r="F79" s="622"/>
      <c r="G79" s="622"/>
      <c r="H79" s="623"/>
      <c r="I79" s="31">
        <f>IF(A79="","",MAX(I$10:I78)+1)</f>
        <v/>
      </c>
      <c r="J79" s="31">
        <f>IFERROR(INDEX($A$11:$A$100000,MATCH(ROW()-10,$I$11:$I$100000,0)),"")</f>
        <v/>
      </c>
      <c r="K79" s="608" t="s">
        <v>2632</v>
      </c>
    </row>
    <row r="80" ht="16.5" customHeight="1">
      <c r="A80" s="623"/>
      <c r="B80" s="624"/>
      <c r="C80" s="625"/>
      <c r="D80" s="778"/>
      <c r="E80" s="622"/>
      <c r="F80" s="622"/>
      <c r="G80" s="622"/>
      <c r="H80" s="623"/>
      <c r="I80" s="31">
        <f>IF(A80="","",MAX(I$10:I79)+1)</f>
        <v/>
      </c>
      <c r="J80" s="31">
        <f>IFERROR(INDEX($A$11:$A$100000,MATCH(ROW()-10,$I$11:$I$100000,0)),"")</f>
        <v/>
      </c>
      <c r="K80" s="608" t="s">
        <v>2633</v>
      </c>
    </row>
    <row r="81" ht="16.5" customHeight="1">
      <c r="A81" s="623"/>
      <c r="B81" s="624"/>
      <c r="C81" s="625"/>
      <c r="D81" s="778"/>
      <c r="E81" s="622"/>
      <c r="F81" s="622"/>
      <c r="G81" s="622"/>
      <c r="H81" s="623"/>
      <c r="I81" s="31">
        <f>IF(A81="","",MAX(I$10:I80)+1)</f>
        <v/>
      </c>
      <c r="J81" s="31">
        <f>IFERROR(INDEX($A$11:$A$100000,MATCH(ROW()-10,$I$11:$I$100000,0)),"")</f>
        <v/>
      </c>
      <c r="K81" s="608" t="s">
        <v>2634</v>
      </c>
    </row>
    <row r="82" ht="16.5" customHeight="1">
      <c r="A82" s="623"/>
      <c r="B82" s="624"/>
      <c r="C82" s="625"/>
      <c r="D82" s="778"/>
      <c r="E82" s="622"/>
      <c r="F82" s="622"/>
      <c r="G82" s="622"/>
      <c r="H82" s="623"/>
      <c r="I82" s="31">
        <f>IF(A82="","",MAX(I$10:I81)+1)</f>
        <v/>
      </c>
      <c r="J82" s="31">
        <f>IFERROR(INDEX($A$11:$A$100000,MATCH(ROW()-10,$I$11:$I$100000,0)),"")</f>
        <v/>
      </c>
      <c r="K82" s="608" t="s">
        <v>2635</v>
      </c>
    </row>
    <row r="83" ht="16.5" customHeight="1">
      <c r="A83" s="623"/>
      <c r="B83" s="624"/>
      <c r="C83" s="625"/>
      <c r="D83" s="778"/>
      <c r="E83" s="622"/>
      <c r="F83" s="622"/>
      <c r="G83" s="622"/>
      <c r="H83" s="623"/>
      <c r="I83" s="31">
        <f>IF(A83="","",MAX(I$10:I82)+1)</f>
        <v/>
      </c>
      <c r="J83" s="31">
        <f>IFERROR(INDEX($A$11:$A$100000,MATCH(ROW()-10,$I$11:$I$100000,0)),"")</f>
        <v/>
      </c>
      <c r="K83" s="608" t="s">
        <v>2636</v>
      </c>
    </row>
    <row r="84" ht="16.5" customHeight="1">
      <c r="A84" s="623"/>
      <c r="B84" s="624"/>
      <c r="C84" s="625"/>
      <c r="D84" s="778"/>
      <c r="E84" s="622"/>
      <c r="F84" s="622"/>
      <c r="G84" s="622"/>
      <c r="H84" s="623"/>
      <c r="I84" s="31">
        <f>IF(A84="","",MAX(I$10:I83)+1)</f>
        <v/>
      </c>
      <c r="J84" s="31">
        <f>IFERROR(INDEX($A$11:$A$100000,MATCH(ROW()-10,$I$11:$I$100000,0)),"")</f>
        <v/>
      </c>
      <c r="K84" s="608" t="s">
        <v>2637</v>
      </c>
    </row>
    <row r="85" ht="16.5" customHeight="1">
      <c r="A85" s="623"/>
      <c r="B85" s="624"/>
      <c r="C85" s="625"/>
      <c r="D85" s="778"/>
      <c r="E85" s="622"/>
      <c r="F85" s="622"/>
      <c r="G85" s="622"/>
      <c r="H85" s="623"/>
      <c r="I85" s="31">
        <f>IF(A85="","",MAX(I$10:I84)+1)</f>
        <v/>
      </c>
      <c r="J85" s="31">
        <f>IFERROR(INDEX($A$11:$A$100000,MATCH(ROW()-10,$I$11:$I$100000,0)),"")</f>
        <v/>
      </c>
      <c r="K85" s="608" t="s">
        <v>2638</v>
      </c>
    </row>
    <row r="86" ht="16.5" customHeight="1">
      <c r="A86" s="623"/>
      <c r="B86" s="624"/>
      <c r="C86" s="625"/>
      <c r="D86" s="778"/>
      <c r="E86" s="622"/>
      <c r="F86" s="622"/>
      <c r="G86" s="622"/>
      <c r="H86" s="623"/>
      <c r="I86" s="31">
        <f>IF(A86="","",MAX(I$10:I85)+1)</f>
        <v/>
      </c>
      <c r="J86" s="31">
        <f>IFERROR(INDEX($A$11:$A$100000,MATCH(ROW()-10,$I$11:$I$100000,0)),"")</f>
        <v/>
      </c>
      <c r="K86" s="608" t="s">
        <v>2639</v>
      </c>
    </row>
    <row r="87" ht="16.5" customHeight="1">
      <c r="A87" s="623"/>
      <c r="B87" s="624"/>
      <c r="C87" s="625"/>
      <c r="D87" s="778"/>
      <c r="E87" s="622"/>
      <c r="F87" s="622"/>
      <c r="G87" s="622"/>
      <c r="H87" s="623"/>
      <c r="I87" s="31">
        <f>IF(A87="","",MAX(I$10:I86)+1)</f>
        <v/>
      </c>
      <c r="J87" s="31">
        <f>IFERROR(INDEX($A$11:$A$100000,MATCH(ROW()-10,$I$11:$I$100000,0)),"")</f>
        <v/>
      </c>
      <c r="K87" s="608" t="s">
        <v>2640</v>
      </c>
    </row>
    <row r="88" ht="16.5" customHeight="1">
      <c r="A88" s="623"/>
      <c r="B88" s="624"/>
      <c r="C88" s="625"/>
      <c r="D88" s="778"/>
      <c r="E88" s="622"/>
      <c r="F88" s="622"/>
      <c r="G88" s="622"/>
      <c r="H88" s="623"/>
      <c r="I88" s="31">
        <f>IF(A88="","",MAX(I$10:I87)+1)</f>
        <v/>
      </c>
      <c r="J88" s="31">
        <f>IFERROR(INDEX($A$11:$A$100000,MATCH(ROW()-10,$I$11:$I$100000,0)),"")</f>
        <v/>
      </c>
      <c r="K88" s="608" t="s">
        <v>2641</v>
      </c>
    </row>
    <row r="89" ht="16.5" customHeight="1">
      <c r="A89" s="623"/>
      <c r="B89" s="624"/>
      <c r="C89" s="625"/>
      <c r="D89" s="778"/>
      <c r="E89" s="622"/>
      <c r="F89" s="622"/>
      <c r="G89" s="622"/>
      <c r="H89" s="623"/>
      <c r="I89" s="31">
        <f>IF(A89="","",MAX(I$10:I88)+1)</f>
        <v/>
      </c>
      <c r="J89" s="31">
        <f>IFERROR(INDEX($A$11:$A$100000,MATCH(ROW()-10,$I$11:$I$100000,0)),"")</f>
        <v/>
      </c>
      <c r="K89" s="608" t="s">
        <v>2642</v>
      </c>
    </row>
    <row r="90" ht="16.5" customHeight="1">
      <c r="A90" s="623"/>
      <c r="B90" s="624"/>
      <c r="C90" s="625"/>
      <c r="D90" s="778"/>
      <c r="E90" s="622"/>
      <c r="F90" s="622"/>
      <c r="G90" s="622"/>
      <c r="H90" s="623"/>
      <c r="I90" s="31">
        <f>IF(A90="","",MAX(I$10:I89)+1)</f>
        <v/>
      </c>
      <c r="J90" s="31">
        <f>IFERROR(INDEX($A$11:$A$100000,MATCH(ROW()-10,$I$11:$I$100000,0)),"")</f>
        <v/>
      </c>
      <c r="K90" s="608" t="s">
        <v>2643</v>
      </c>
    </row>
    <row r="91" ht="16.5" customHeight="1">
      <c r="A91" s="623"/>
      <c r="B91" s="624"/>
      <c r="C91" s="625"/>
      <c r="D91" s="778"/>
      <c r="E91" s="622"/>
      <c r="F91" s="622"/>
      <c r="G91" s="622"/>
      <c r="H91" s="623"/>
      <c r="I91" s="31">
        <f>IF(A91="","",MAX(I$10:I90)+1)</f>
        <v/>
      </c>
      <c r="J91" s="31">
        <f>IFERROR(INDEX($A$11:$A$100000,MATCH(ROW()-10,$I$11:$I$100000,0)),"")</f>
        <v/>
      </c>
      <c r="K91" s="608" t="s">
        <v>2644</v>
      </c>
    </row>
    <row r="92" ht="16.5" customHeight="1">
      <c r="A92" s="623"/>
      <c r="B92" s="624"/>
      <c r="C92" s="625"/>
      <c r="D92" s="778"/>
      <c r="E92" s="622"/>
      <c r="F92" s="622"/>
      <c r="G92" s="622"/>
      <c r="H92" s="623"/>
      <c r="I92" s="31">
        <f>IF(A92="","",MAX(I$10:I91)+1)</f>
        <v/>
      </c>
      <c r="J92" s="31">
        <f>IFERROR(INDEX($A$11:$A$100000,MATCH(ROW()-10,$I$11:$I$100000,0)),"")</f>
        <v/>
      </c>
      <c r="K92" s="608" t="s">
        <v>2645</v>
      </c>
    </row>
    <row r="93" ht="16.5" customHeight="1">
      <c r="A93" s="623"/>
      <c r="B93" s="624"/>
      <c r="C93" s="625"/>
      <c r="D93" s="778"/>
      <c r="E93" s="622"/>
      <c r="F93" s="622"/>
      <c r="G93" s="622"/>
      <c r="H93" s="623"/>
      <c r="I93" s="31">
        <f>IF(A93="","",MAX(I$10:I92)+1)</f>
        <v/>
      </c>
      <c r="J93" s="31">
        <f>IFERROR(INDEX($A$11:$A$100000,MATCH(ROW()-10,$I$11:$I$100000,0)),"")</f>
        <v/>
      </c>
      <c r="K93" s="608" t="s">
        <v>2646</v>
      </c>
    </row>
    <row r="94" ht="16.5" customHeight="1">
      <c r="A94" s="623"/>
      <c r="B94" s="624"/>
      <c r="C94" s="625"/>
      <c r="D94" s="778"/>
      <c r="E94" s="622"/>
      <c r="F94" s="622"/>
      <c r="G94" s="622"/>
      <c r="H94" s="623"/>
      <c r="I94" s="31">
        <f>IF(A94="","",MAX(I$10:I93)+1)</f>
        <v/>
      </c>
      <c r="J94" s="31">
        <f>IFERROR(INDEX($A$11:$A$100000,MATCH(ROW()-10,$I$11:$I$100000,0)),"")</f>
        <v/>
      </c>
      <c r="K94" s="608" t="s">
        <v>2647</v>
      </c>
    </row>
    <row r="95" ht="16.5" customHeight="1">
      <c r="A95" s="623"/>
      <c r="B95" s="624"/>
      <c r="C95" s="625"/>
      <c r="D95" s="778"/>
      <c r="E95" s="622"/>
      <c r="F95" s="622"/>
      <c r="G95" s="622"/>
      <c r="H95" s="623"/>
      <c r="I95" s="31">
        <f>IF(A95="","",MAX(I$10:I94)+1)</f>
        <v/>
      </c>
      <c r="J95" s="31">
        <f>IFERROR(INDEX($A$11:$A$100000,MATCH(ROW()-10,$I$11:$I$100000,0)),"")</f>
        <v/>
      </c>
      <c r="K95" s="608" t="s">
        <v>2648</v>
      </c>
    </row>
    <row r="96" ht="16.5" customHeight="1">
      <c r="A96" s="623"/>
      <c r="B96" s="624"/>
      <c r="C96" s="625"/>
      <c r="D96" s="778"/>
      <c r="E96" s="622"/>
      <c r="F96" s="622"/>
      <c r="G96" s="622"/>
      <c r="H96" s="623"/>
      <c r="I96" s="31">
        <f>IF(A96="","",MAX(I$10:I95)+1)</f>
        <v/>
      </c>
      <c r="J96" s="31">
        <f>IFERROR(INDEX($A$11:$A$100000,MATCH(ROW()-10,$I$11:$I$100000,0)),"")</f>
        <v/>
      </c>
      <c r="K96" s="608" t="s">
        <v>2649</v>
      </c>
    </row>
    <row r="97" ht="16.5" customHeight="1">
      <c r="A97" s="623"/>
      <c r="B97" s="624"/>
      <c r="C97" s="625"/>
      <c r="D97" s="778"/>
      <c r="E97" s="622"/>
      <c r="F97" s="622"/>
      <c r="G97" s="622"/>
      <c r="H97" s="623"/>
      <c r="I97" s="31">
        <f>IF(A97="","",MAX(I$10:I96)+1)</f>
        <v/>
      </c>
      <c r="J97" s="31">
        <f>IFERROR(INDEX($A$11:$A$100000,MATCH(ROW()-10,$I$11:$I$100000,0)),"")</f>
        <v/>
      </c>
      <c r="K97" s="608" t="s">
        <v>2650</v>
      </c>
    </row>
    <row r="98" ht="16.5" customHeight="1">
      <c r="A98" s="623"/>
      <c r="B98" s="624"/>
      <c r="C98" s="625"/>
      <c r="D98" s="778"/>
      <c r="E98" s="622"/>
      <c r="F98" s="622"/>
      <c r="G98" s="622"/>
      <c r="H98" s="623"/>
      <c r="I98" s="31">
        <f>IF(A98="","",MAX(I$10:I97)+1)</f>
        <v/>
      </c>
      <c r="J98" s="31">
        <f>IFERROR(INDEX($A$11:$A$100000,MATCH(ROW()-10,$I$11:$I$100000,0)),"")</f>
        <v/>
      </c>
      <c r="K98" s="608" t="s">
        <v>2651</v>
      </c>
    </row>
    <row r="99" ht="16.5" customHeight="1">
      <c r="A99" s="623"/>
      <c r="B99" s="624"/>
      <c r="C99" s="625"/>
      <c r="D99" s="778"/>
      <c r="E99" s="622"/>
      <c r="F99" s="622"/>
      <c r="G99" s="622"/>
      <c r="H99" s="623"/>
      <c r="I99" s="31">
        <f>IF(A99="","",MAX(I$10:I98)+1)</f>
        <v/>
      </c>
      <c r="J99" s="31">
        <f>IFERROR(INDEX($A$11:$A$100000,MATCH(ROW()-10,$I$11:$I$100000,0)),"")</f>
        <v/>
      </c>
      <c r="K99" s="608" t="s">
        <v>2652</v>
      </c>
    </row>
    <row r="100" ht="16.5" customHeight="1">
      <c r="A100" s="623"/>
      <c r="B100" s="624"/>
      <c r="C100" s="625"/>
      <c r="D100" s="778"/>
      <c r="E100" s="622"/>
      <c r="F100" s="622"/>
      <c r="G100" s="622"/>
      <c r="H100" s="623"/>
      <c r="I100" s="31">
        <f>IF(A100="","",MAX(I$10:I99)+1)</f>
        <v/>
      </c>
      <c r="J100" s="31">
        <f>IFERROR(INDEX($A$11:$A$100000,MATCH(ROW()-10,$I$11:$I$100000,0)),"")</f>
        <v/>
      </c>
      <c r="K100" s="608" t="s">
        <v>2653</v>
      </c>
    </row>
    <row r="101" ht="16.5" customHeight="1">
      <c r="A101" s="623"/>
      <c r="B101" s="624"/>
      <c r="C101" s="625"/>
      <c r="D101" s="778"/>
      <c r="E101" s="622"/>
      <c r="F101" s="622"/>
      <c r="G101" s="622"/>
      <c r="H101" s="623"/>
      <c r="I101" s="31">
        <f>IF(A101="","",MAX(I$10:I100)+1)</f>
        <v/>
      </c>
      <c r="J101" s="31">
        <f>IFERROR(INDEX($A$11:$A$100000,MATCH(ROW()-10,$I$11:$I$100000,0)),"")</f>
        <v/>
      </c>
      <c r="K101" s="608" t="s">
        <v>2654</v>
      </c>
    </row>
    <row r="102" ht="16.5" customHeight="1">
      <c r="A102" s="623"/>
      <c r="B102" s="624"/>
      <c r="C102" s="625"/>
      <c r="D102" s="778"/>
      <c r="E102" s="622"/>
      <c r="F102" s="622"/>
      <c r="G102" s="622"/>
      <c r="H102" s="623"/>
      <c r="I102" s="31">
        <f>IF(A102="","",MAX(I$10:I101)+1)</f>
        <v/>
      </c>
      <c r="J102" s="31">
        <f>IFERROR(INDEX($A$11:$A$100000,MATCH(ROW()-10,$I$11:$I$100000,0)),"")</f>
        <v/>
      </c>
      <c r="K102" s="608" t="s">
        <v>2655</v>
      </c>
    </row>
    <row r="103" ht="16.5" customHeight="1">
      <c r="A103" s="623"/>
      <c r="B103" s="624"/>
      <c r="C103" s="625"/>
      <c r="D103" s="778"/>
      <c r="E103" s="622"/>
      <c r="F103" s="622"/>
      <c r="G103" s="622"/>
      <c r="H103" s="623"/>
      <c r="I103" s="31">
        <f>IF(A103="","",MAX(I$10:I102)+1)</f>
        <v/>
      </c>
      <c r="J103" s="31">
        <f>IFERROR(INDEX($A$11:$A$100000,MATCH(ROW()-10,$I$11:$I$100000,0)),"")</f>
        <v/>
      </c>
      <c r="K103" s="608" t="s">
        <v>2656</v>
      </c>
    </row>
    <row r="104" ht="16.5" customHeight="1">
      <c r="A104" s="623"/>
      <c r="B104" s="624"/>
      <c r="C104" s="625"/>
      <c r="D104" s="778"/>
      <c r="E104" s="622"/>
      <c r="F104" s="622"/>
      <c r="G104" s="622"/>
      <c r="H104" s="623"/>
      <c r="I104" s="31">
        <f>IF(A104="","",MAX(I$10:I103)+1)</f>
        <v/>
      </c>
      <c r="J104" s="31">
        <f>IFERROR(INDEX($A$11:$A$100000,MATCH(ROW()-10,$I$11:$I$100000,0)),"")</f>
        <v/>
      </c>
      <c r="K104" s="608" t="s">
        <v>2657</v>
      </c>
    </row>
    <row r="105" ht="16.5" customHeight="1">
      <c r="A105" s="623"/>
      <c r="B105" s="624"/>
      <c r="C105" s="625"/>
      <c r="D105" s="778"/>
      <c r="E105" s="622"/>
      <c r="F105" s="622"/>
      <c r="G105" s="622"/>
      <c r="H105" s="623"/>
      <c r="I105" s="31">
        <f>IF(A105="","",MAX(I$10:I104)+1)</f>
        <v/>
      </c>
      <c r="J105" s="31">
        <f>IFERROR(INDEX($A$11:$A$100000,MATCH(ROW()-10,$I$11:$I$100000,0)),"")</f>
        <v/>
      </c>
      <c r="K105" s="608" t="s">
        <v>2658</v>
      </c>
    </row>
    <row r="106" ht="16.5" customHeight="1">
      <c r="A106" s="623"/>
      <c r="B106" s="624"/>
      <c r="C106" s="625"/>
      <c r="D106" s="778"/>
      <c r="E106" s="622"/>
      <c r="F106" s="622"/>
      <c r="G106" s="622"/>
      <c r="H106" s="623"/>
      <c r="I106" s="31">
        <f>IF(A106="","",MAX(I$10:I105)+1)</f>
        <v/>
      </c>
      <c r="J106" s="31">
        <f>IFERROR(INDEX($A$11:$A$100000,MATCH(ROW()-10,$I$11:$I$100000,0)),"")</f>
        <v/>
      </c>
      <c r="K106" s="608" t="s">
        <v>2659</v>
      </c>
    </row>
    <row r="107" ht="16.5" customHeight="1">
      <c r="A107" s="623"/>
      <c r="B107" s="624"/>
      <c r="C107" s="625"/>
      <c r="D107" s="778"/>
      <c r="E107" s="622"/>
      <c r="F107" s="622"/>
      <c r="G107" s="622"/>
      <c r="H107" s="623"/>
      <c r="I107" s="31">
        <f>IF(A107="","",MAX(I$10:I106)+1)</f>
        <v/>
      </c>
      <c r="J107" s="31">
        <f>IFERROR(INDEX($A$11:$A$100000,MATCH(ROW()-10,$I$11:$I$100000,0)),"")</f>
        <v/>
      </c>
      <c r="K107" s="608" t="s">
        <v>2660</v>
      </c>
    </row>
    <row r="108" ht="16.5" customHeight="1">
      <c r="A108" s="623"/>
      <c r="B108" s="624"/>
      <c r="C108" s="625"/>
      <c r="D108" s="778"/>
      <c r="E108" s="622"/>
      <c r="F108" s="622"/>
      <c r="G108" s="622"/>
      <c r="H108" s="623"/>
      <c r="I108" s="31">
        <f>IF(A108="","",MAX(I$10:I107)+1)</f>
        <v/>
      </c>
      <c r="J108" s="31">
        <f>IFERROR(INDEX($A$11:$A$100000,MATCH(ROW()-10,$I$11:$I$100000,0)),"")</f>
        <v/>
      </c>
      <c r="K108" s="608" t="s">
        <v>2661</v>
      </c>
    </row>
    <row r="109" ht="16.5" customHeight="1">
      <c r="A109" s="623"/>
      <c r="B109" s="624"/>
      <c r="C109" s="625"/>
      <c r="D109" s="778"/>
      <c r="E109" s="622"/>
      <c r="F109" s="622"/>
      <c r="G109" s="622"/>
      <c r="H109" s="623"/>
      <c r="I109" s="31">
        <f>IF(A109="","",MAX(I$10:I108)+1)</f>
        <v/>
      </c>
      <c r="J109" s="31">
        <f>IFERROR(INDEX($A$11:$A$100000,MATCH(ROW()-10,$I$11:$I$100000,0)),"")</f>
        <v/>
      </c>
      <c r="K109" s="608" t="s">
        <v>2662</v>
      </c>
    </row>
    <row r="110" ht="16.5" customHeight="1">
      <c r="A110" s="623"/>
      <c r="B110" s="624"/>
      <c r="C110" s="625"/>
      <c r="D110" s="778"/>
      <c r="E110" s="622"/>
      <c r="F110" s="622"/>
      <c r="G110" s="622"/>
      <c r="H110" s="623"/>
      <c r="I110" s="31">
        <f>IF(A110="","",MAX(I$10:I109)+1)</f>
        <v/>
      </c>
      <c r="J110" s="31">
        <f>IFERROR(INDEX($A$11:$A$100000,MATCH(ROW()-10,$I$11:$I$100000,0)),"")</f>
        <v/>
      </c>
      <c r="K110" s="608" t="s">
        <v>2663</v>
      </c>
    </row>
    <row r="111" ht="16.5" customHeight="1">
      <c r="A111" s="623"/>
      <c r="B111" s="624"/>
      <c r="C111" s="625"/>
      <c r="D111" s="778"/>
      <c r="E111" s="622"/>
      <c r="F111" s="622"/>
      <c r="G111" s="622"/>
      <c r="H111" s="623"/>
      <c r="I111" s="31">
        <f>IF(A111="","",MAX(I$10:I110)+1)</f>
        <v/>
      </c>
      <c r="J111" s="31">
        <f>IFERROR(INDEX($A$11:$A$100000,MATCH(ROW()-10,$I$11:$I$100000,0)),"")</f>
        <v/>
      </c>
      <c r="K111" s="608" t="s">
        <v>2664</v>
      </c>
    </row>
    <row r="112" ht="16.5" customHeight="1">
      <c r="A112" s="623"/>
      <c r="B112" s="624"/>
      <c r="C112" s="625"/>
      <c r="D112" s="778"/>
      <c r="E112" s="622"/>
      <c r="F112" s="622"/>
      <c r="G112" s="622"/>
      <c r="H112" s="623"/>
      <c r="I112" s="31">
        <f>IF(A112="","",MAX(I$10:I111)+1)</f>
        <v/>
      </c>
      <c r="J112" s="31">
        <f>IFERROR(INDEX($A$11:$A$100000,MATCH(ROW()-10,$I$11:$I$100000,0)),"")</f>
        <v/>
      </c>
      <c r="K112" s="608" t="s">
        <v>2665</v>
      </c>
    </row>
    <row r="113" ht="16.5" customHeight="1">
      <c r="A113" s="623"/>
      <c r="B113" s="624"/>
      <c r="C113" s="625"/>
      <c r="D113" s="778"/>
      <c r="E113" s="622"/>
      <c r="F113" s="622"/>
      <c r="G113" s="622"/>
      <c r="H113" s="623"/>
      <c r="I113" s="31">
        <f>IF(A113="","",MAX(I$10:I112)+1)</f>
        <v/>
      </c>
      <c r="J113" s="31">
        <f>IFERROR(INDEX($A$11:$A$100000,MATCH(ROW()-10,$I$11:$I$100000,0)),"")</f>
        <v/>
      </c>
      <c r="K113" s="608" t="s">
        <v>2666</v>
      </c>
    </row>
    <row r="114" ht="16.5" customHeight="1">
      <c r="A114" s="623"/>
      <c r="B114" s="624"/>
      <c r="C114" s="625"/>
      <c r="D114" s="778"/>
      <c r="E114" s="622"/>
      <c r="F114" s="622"/>
      <c r="G114" s="622"/>
      <c r="H114" s="623"/>
      <c r="I114" s="31">
        <f>IF(A114="","",MAX(I$10:I113)+1)</f>
        <v/>
      </c>
      <c r="J114" s="31">
        <f>IFERROR(INDEX($A$11:$A$100000,MATCH(ROW()-10,$I$11:$I$100000,0)),"")</f>
        <v/>
      </c>
      <c r="K114" s="608" t="s">
        <v>2667</v>
      </c>
    </row>
    <row r="115" ht="16.5" customHeight="1">
      <c r="A115" s="623"/>
      <c r="B115" s="624"/>
      <c r="C115" s="625"/>
      <c r="D115" s="778"/>
      <c r="E115" s="622"/>
      <c r="F115" s="622"/>
      <c r="G115" s="622"/>
      <c r="H115" s="623"/>
      <c r="I115" s="31">
        <f>IF(A115="","",MAX(I$10:I114)+1)</f>
        <v/>
      </c>
      <c r="J115" s="31">
        <f>IFERROR(INDEX($A$11:$A$100000,MATCH(ROW()-10,$I$11:$I$100000,0)),"")</f>
        <v/>
      </c>
      <c r="K115" s="608" t="s">
        <v>2668</v>
      </c>
    </row>
    <row r="116" ht="16.5" customHeight="1">
      <c r="A116" s="623"/>
      <c r="B116" s="624"/>
      <c r="C116" s="625"/>
      <c r="D116" s="778"/>
      <c r="E116" s="622"/>
      <c r="F116" s="622"/>
      <c r="G116" s="622"/>
      <c r="H116" s="623"/>
      <c r="I116" s="31">
        <f>IF(A116="","",MAX(I$10:I115)+1)</f>
        <v/>
      </c>
      <c r="J116" s="31">
        <f>IFERROR(INDEX($A$11:$A$100000,MATCH(ROW()-10,$I$11:$I$100000,0)),"")</f>
        <v/>
      </c>
      <c r="K116" s="608" t="s">
        <v>2669</v>
      </c>
    </row>
    <row r="117" ht="16.5" customHeight="1">
      <c r="A117" s="623"/>
      <c r="B117" s="624"/>
      <c r="C117" s="625"/>
      <c r="D117" s="778"/>
      <c r="E117" s="622"/>
      <c r="F117" s="622"/>
      <c r="G117" s="622"/>
      <c r="H117" s="623"/>
      <c r="I117" s="31">
        <f>IF(A117="","",MAX(I$10:I116)+1)</f>
        <v/>
      </c>
      <c r="J117" s="31">
        <f>IFERROR(INDEX($A$11:$A$100000,MATCH(ROW()-10,$I$11:$I$100000,0)),"")</f>
        <v/>
      </c>
      <c r="K117" s="608" t="s">
        <v>2670</v>
      </c>
    </row>
    <row r="118" ht="16.5" customHeight="1">
      <c r="A118" s="623"/>
      <c r="B118" s="624"/>
      <c r="C118" s="625"/>
      <c r="D118" s="778"/>
      <c r="E118" s="622"/>
      <c r="F118" s="622"/>
      <c r="G118" s="622"/>
      <c r="H118" s="623"/>
      <c r="I118" s="31">
        <f>IF(A118="","",MAX(I$10:I117)+1)</f>
        <v/>
      </c>
      <c r="J118" s="31">
        <f>IFERROR(INDEX($A$11:$A$100000,MATCH(ROW()-10,$I$11:$I$100000,0)),"")</f>
        <v/>
      </c>
      <c r="K118" s="608" t="s">
        <v>2671</v>
      </c>
    </row>
    <row r="119" ht="16.5" customHeight="1">
      <c r="A119" s="623"/>
      <c r="B119" s="624"/>
      <c r="C119" s="625"/>
      <c r="D119" s="778"/>
      <c r="E119" s="622"/>
      <c r="F119" s="622"/>
      <c r="G119" s="622"/>
      <c r="H119" s="623"/>
      <c r="I119" s="31">
        <f>IF(A119="","",MAX(I$10:I118)+1)</f>
        <v/>
      </c>
      <c r="J119" s="31">
        <f>IFERROR(INDEX($A$11:$A$100000,MATCH(ROW()-10,$I$11:$I$100000,0)),"")</f>
        <v/>
      </c>
      <c r="K119" s="608" t="s">
        <v>2672</v>
      </c>
    </row>
    <row r="120" ht="16.5" customHeight="1">
      <c r="A120" s="623"/>
      <c r="B120" s="624"/>
      <c r="C120" s="625"/>
      <c r="D120" s="778"/>
      <c r="E120" s="622"/>
      <c r="F120" s="622"/>
      <c r="G120" s="622"/>
      <c r="H120" s="623"/>
      <c r="I120" s="31">
        <f>IF(A120="","",MAX(I$10:I119)+1)</f>
        <v/>
      </c>
      <c r="J120" s="31">
        <f>IFERROR(INDEX($A$11:$A$100000,MATCH(ROW()-10,$I$11:$I$100000,0)),"")</f>
        <v/>
      </c>
      <c r="K120" s="608" t="s">
        <v>2673</v>
      </c>
    </row>
    <row r="121" ht="16.5" customHeight="1">
      <c r="A121" s="623"/>
      <c r="B121" s="624"/>
      <c r="C121" s="625"/>
      <c r="D121" s="778"/>
      <c r="E121" s="622"/>
      <c r="F121" s="622"/>
      <c r="G121" s="622"/>
      <c r="H121" s="623"/>
      <c r="I121" s="31">
        <f>IF(A121="","",MAX(I$10:I120)+1)</f>
        <v/>
      </c>
      <c r="J121" s="31">
        <f>IFERROR(INDEX($A$11:$A$100000,MATCH(ROW()-10,$I$11:$I$100000,0)),"")</f>
        <v/>
      </c>
      <c r="K121" s="608" t="s">
        <v>2674</v>
      </c>
    </row>
    <row r="122" ht="16.5" customHeight="1">
      <c r="A122" s="623"/>
      <c r="B122" s="624"/>
      <c r="C122" s="625"/>
      <c r="D122" s="778"/>
      <c r="E122" s="622"/>
      <c r="F122" s="622"/>
      <c r="G122" s="622"/>
      <c r="H122" s="623"/>
      <c r="I122" s="31">
        <f>IF(A122="","",MAX(I$10:I121)+1)</f>
        <v/>
      </c>
      <c r="J122" s="31">
        <f>IFERROR(INDEX($A$11:$A$100000,MATCH(ROW()-10,$I$11:$I$100000,0)),"")</f>
        <v/>
      </c>
      <c r="K122" s="608" t="s">
        <v>2675</v>
      </c>
    </row>
    <row r="123" ht="16.5" customHeight="1">
      <c r="A123" s="623"/>
      <c r="B123" s="624"/>
      <c r="C123" s="625"/>
      <c r="D123" s="778"/>
      <c r="E123" s="622"/>
      <c r="F123" s="622"/>
      <c r="G123" s="622"/>
      <c r="H123" s="623"/>
      <c r="I123" s="31">
        <f>IF(A123="","",MAX(I$10:I122)+1)</f>
        <v/>
      </c>
      <c r="J123" s="31">
        <f>IFERROR(INDEX($A$11:$A$100000,MATCH(ROW()-10,$I$11:$I$100000,0)),"")</f>
        <v/>
      </c>
      <c r="K123" s="608" t="s">
        <v>2676</v>
      </c>
    </row>
    <row r="124" ht="16.5" customHeight="1">
      <c r="A124" s="623"/>
      <c r="B124" s="624"/>
      <c r="C124" s="625"/>
      <c r="D124" s="778"/>
      <c r="E124" s="622"/>
      <c r="F124" s="622"/>
      <c r="G124" s="622"/>
      <c r="H124" s="623"/>
      <c r="I124" s="31">
        <f>IF(A124="","",MAX(I$10:I123)+1)</f>
        <v/>
      </c>
      <c r="J124" s="31">
        <f>IFERROR(INDEX($A$11:$A$100000,MATCH(ROW()-10,$I$11:$I$100000,0)),"")</f>
        <v/>
      </c>
      <c r="K124" s="608" t="s">
        <v>2677</v>
      </c>
    </row>
    <row r="125" ht="16.5" customHeight="1">
      <c r="A125" s="623"/>
      <c r="B125" s="624"/>
      <c r="C125" s="625"/>
      <c r="D125" s="778"/>
      <c r="E125" s="622"/>
      <c r="F125" s="622"/>
      <c r="G125" s="622"/>
      <c r="H125" s="623"/>
      <c r="I125" s="31">
        <f>IF(A125="","",MAX(I$10:I124)+1)</f>
        <v/>
      </c>
      <c r="J125" s="31">
        <f>IFERROR(INDEX($A$11:$A$100000,MATCH(ROW()-10,$I$11:$I$100000,0)),"")</f>
        <v/>
      </c>
      <c r="K125" s="608" t="s">
        <v>2678</v>
      </c>
    </row>
    <row r="126" ht="16.5" customHeight="1">
      <c r="A126" s="623"/>
      <c r="B126" s="624"/>
      <c r="C126" s="625"/>
      <c r="D126" s="778"/>
      <c r="E126" s="622"/>
      <c r="F126" s="622"/>
      <c r="G126" s="622"/>
      <c r="H126" s="623"/>
      <c r="I126" s="31">
        <f>IF(A126="","",MAX(I$10:I125)+1)</f>
        <v/>
      </c>
      <c r="J126" s="31">
        <f>IFERROR(INDEX($A$11:$A$100000,MATCH(ROW()-10,$I$11:$I$100000,0)),"")</f>
        <v/>
      </c>
      <c r="K126" s="608" t="s">
        <v>2679</v>
      </c>
    </row>
    <row r="127" ht="16.5" customHeight="1">
      <c r="A127" s="623"/>
      <c r="B127" s="624"/>
      <c r="C127" s="625"/>
      <c r="D127" s="778"/>
      <c r="E127" s="622"/>
      <c r="F127" s="622"/>
      <c r="G127" s="622"/>
      <c r="H127" s="623"/>
      <c r="I127" s="31">
        <f>IF(A127="","",MAX(I$10:I126)+1)</f>
        <v/>
      </c>
      <c r="J127" s="31">
        <f>IFERROR(INDEX($A$11:$A$100000,MATCH(ROW()-10,$I$11:$I$100000,0)),"")</f>
        <v/>
      </c>
      <c r="K127" s="608" t="s">
        <v>2680</v>
      </c>
    </row>
    <row r="128" ht="16.5" customHeight="1">
      <c r="A128" s="623"/>
      <c r="B128" s="624"/>
      <c r="C128" s="625"/>
      <c r="D128" s="778"/>
      <c r="E128" s="622"/>
      <c r="F128" s="622"/>
      <c r="G128" s="622"/>
      <c r="H128" s="623"/>
      <c r="I128" s="31">
        <f>IF(A128="","",MAX(I$10:I127)+1)</f>
        <v/>
      </c>
      <c r="J128" s="31">
        <f>IFERROR(INDEX($A$11:$A$100000,MATCH(ROW()-10,$I$11:$I$100000,0)),"")</f>
        <v/>
      </c>
      <c r="K128" s="608" t="s">
        <v>2681</v>
      </c>
    </row>
    <row r="129" ht="16.5" customHeight="1">
      <c r="A129" s="623"/>
      <c r="B129" s="624"/>
      <c r="C129" s="625"/>
      <c r="D129" s="778"/>
      <c r="E129" s="622"/>
      <c r="F129" s="622"/>
      <c r="G129" s="622"/>
      <c r="H129" s="623"/>
      <c r="I129" s="31">
        <f>IF(A129="","",MAX(I$10:I128)+1)</f>
        <v/>
      </c>
      <c r="J129" s="31">
        <f>IFERROR(INDEX($A$11:$A$100000,MATCH(ROW()-10,$I$11:$I$100000,0)),"")</f>
        <v/>
      </c>
      <c r="K129" s="608" t="s">
        <v>2682</v>
      </c>
    </row>
    <row r="130" ht="16.5" customHeight="1">
      <c r="A130" s="623"/>
      <c r="B130" s="624"/>
      <c r="C130" s="625"/>
      <c r="D130" s="778"/>
      <c r="E130" s="622"/>
      <c r="F130" s="622"/>
      <c r="G130" s="622"/>
      <c r="H130" s="623"/>
      <c r="I130" s="31">
        <f>IF(A130="","",MAX(I$10:I129)+1)</f>
        <v/>
      </c>
      <c r="J130" s="31">
        <f>IFERROR(INDEX($A$11:$A$100000,MATCH(ROW()-10,$I$11:$I$100000,0)),"")</f>
        <v/>
      </c>
      <c r="K130" s="608" t="s">
        <v>2683</v>
      </c>
    </row>
    <row r="131" ht="16.5" customHeight="1">
      <c r="A131" s="623"/>
      <c r="B131" s="624"/>
      <c r="C131" s="625"/>
      <c r="D131" s="778"/>
      <c r="E131" s="622"/>
      <c r="F131" s="622"/>
      <c r="G131" s="622"/>
      <c r="H131" s="623"/>
      <c r="I131" s="31">
        <f>IF(A131="","",MAX(I$10:I130)+1)</f>
        <v/>
      </c>
      <c r="J131" s="31">
        <f>IFERROR(INDEX($A$11:$A$100000,MATCH(ROW()-10,$I$11:$I$100000,0)),"")</f>
        <v/>
      </c>
      <c r="K131" s="608" t="s">
        <v>2684</v>
      </c>
    </row>
    <row r="132" ht="16.5" customHeight="1">
      <c r="A132" s="623"/>
      <c r="B132" s="624"/>
      <c r="C132" s="625"/>
      <c r="D132" s="778"/>
      <c r="E132" s="622"/>
      <c r="F132" s="622"/>
      <c r="G132" s="622"/>
      <c r="H132" s="623"/>
      <c r="I132" s="31">
        <f>IF(A132="","",MAX(I$10:I131)+1)</f>
        <v/>
      </c>
      <c r="J132" s="31">
        <f>IFERROR(INDEX($A$11:$A$100000,MATCH(ROW()-10,$I$11:$I$100000,0)),"")</f>
        <v/>
      </c>
      <c r="K132" s="608" t="s">
        <v>2685</v>
      </c>
    </row>
    <row r="133" ht="16.5" customHeight="1">
      <c r="A133" s="623"/>
      <c r="B133" s="624"/>
      <c r="C133" s="625"/>
      <c r="D133" s="778"/>
      <c r="E133" s="622"/>
      <c r="F133" s="622"/>
      <c r="G133" s="622"/>
      <c r="H133" s="623"/>
      <c r="I133" s="31">
        <f>IF(A133="","",MAX(I$10:I132)+1)</f>
        <v/>
      </c>
      <c r="J133" s="31">
        <f>IFERROR(INDEX($A$11:$A$100000,MATCH(ROW()-10,$I$11:$I$100000,0)),"")</f>
        <v/>
      </c>
      <c r="K133" s="608" t="s">
        <v>2686</v>
      </c>
    </row>
    <row r="134" ht="16.5" customHeight="1">
      <c r="A134" s="623"/>
      <c r="B134" s="624"/>
      <c r="C134" s="625"/>
      <c r="D134" s="778"/>
      <c r="E134" s="622"/>
      <c r="F134" s="622"/>
      <c r="G134" s="622"/>
      <c r="H134" s="623"/>
      <c r="I134" s="31">
        <f>IF(A134="","",MAX(I$10:I133)+1)</f>
        <v/>
      </c>
      <c r="J134" s="31">
        <f>IFERROR(INDEX($A$11:$A$100000,MATCH(ROW()-10,$I$11:$I$100000,0)),"")</f>
        <v/>
      </c>
      <c r="K134" s="608" t="s">
        <v>2687</v>
      </c>
    </row>
    <row r="135" ht="16.5" customHeight="1">
      <c r="A135" s="623"/>
      <c r="B135" s="624"/>
      <c r="C135" s="625"/>
      <c r="D135" s="778"/>
      <c r="E135" s="622"/>
      <c r="F135" s="622"/>
      <c r="G135" s="622"/>
      <c r="H135" s="623"/>
      <c r="I135" s="31">
        <f>IF(A135="","",MAX(I$10:I134)+1)</f>
        <v/>
      </c>
      <c r="J135" s="31">
        <f>IFERROR(INDEX($A$11:$A$100000,MATCH(ROW()-10,$I$11:$I$100000,0)),"")</f>
        <v/>
      </c>
      <c r="K135" s="608" t="s">
        <v>2688</v>
      </c>
    </row>
    <row r="136" ht="16.5" customHeight="1">
      <c r="A136" s="623"/>
      <c r="B136" s="624"/>
      <c r="C136" s="625"/>
      <c r="D136" s="778"/>
      <c r="E136" s="622"/>
      <c r="F136" s="622"/>
      <c r="G136" s="622"/>
      <c r="H136" s="623"/>
      <c r="I136" s="31">
        <f>IF(A136="","",MAX(I$10:I135)+1)</f>
        <v/>
      </c>
      <c r="J136" s="31">
        <f>IFERROR(INDEX($A$11:$A$100000,MATCH(ROW()-10,$I$11:$I$100000,0)),"")</f>
        <v/>
      </c>
      <c r="K136" s="608" t="s">
        <v>2689</v>
      </c>
    </row>
    <row r="137" ht="16.5" customHeight="1">
      <c r="A137" s="623"/>
      <c r="B137" s="624"/>
      <c r="C137" s="625"/>
      <c r="D137" s="778"/>
      <c r="E137" s="622"/>
      <c r="F137" s="622"/>
      <c r="G137" s="622"/>
      <c r="H137" s="623"/>
      <c r="I137" s="31">
        <f>IF(A137="","",MAX(I$10:I136)+1)</f>
        <v/>
      </c>
      <c r="J137" s="31">
        <f>IFERROR(INDEX($A$11:$A$100000,MATCH(ROW()-10,$I$11:$I$100000,0)),"")</f>
        <v/>
      </c>
      <c r="K137" s="608" t="s">
        <v>2690</v>
      </c>
    </row>
    <row r="138" ht="16.5" customHeight="1">
      <c r="A138" s="623"/>
      <c r="B138" s="624"/>
      <c r="C138" s="625"/>
      <c r="D138" s="778"/>
      <c r="E138" s="622"/>
      <c r="F138" s="622"/>
      <c r="G138" s="622"/>
      <c r="H138" s="623"/>
      <c r="I138" s="31">
        <f>IF(A138="","",MAX(I$10:I137)+1)</f>
        <v/>
      </c>
      <c r="J138" s="31">
        <f>IFERROR(INDEX($A$11:$A$100000,MATCH(ROW()-10,$I$11:$I$100000,0)),"")</f>
        <v/>
      </c>
      <c r="K138" s="608" t="s">
        <v>2691</v>
      </c>
    </row>
    <row r="139" ht="16.5" customHeight="1">
      <c r="A139" s="623"/>
      <c r="B139" s="624"/>
      <c r="C139" s="625"/>
      <c r="D139" s="778"/>
      <c r="E139" s="622"/>
      <c r="F139" s="622"/>
      <c r="G139" s="622"/>
      <c r="H139" s="623"/>
      <c r="I139" s="31">
        <f>IF(A139="","",MAX(I$10:I138)+1)</f>
        <v/>
      </c>
      <c r="J139" s="31">
        <f>IFERROR(INDEX($A$11:$A$100000,MATCH(ROW()-10,$I$11:$I$100000,0)),"")</f>
        <v/>
      </c>
      <c r="K139" s="608" t="s">
        <v>2692</v>
      </c>
    </row>
    <row r="140" ht="16.5" customHeight="1">
      <c r="A140" s="623"/>
      <c r="B140" s="624"/>
      <c r="C140" s="625"/>
      <c r="D140" s="778"/>
      <c r="E140" s="622"/>
      <c r="F140" s="622"/>
      <c r="G140" s="622"/>
      <c r="H140" s="623"/>
      <c r="I140" s="31">
        <f>IF(A140="","",MAX(I$10:I139)+1)</f>
        <v/>
      </c>
      <c r="J140" s="31">
        <f>IFERROR(INDEX($A$11:$A$100000,MATCH(ROW()-10,$I$11:$I$100000,0)),"")</f>
        <v/>
      </c>
      <c r="K140" s="608" t="s">
        <v>2693</v>
      </c>
    </row>
    <row r="141" ht="16.5" customHeight="1">
      <c r="A141" s="623"/>
      <c r="B141" s="624"/>
      <c r="C141" s="625"/>
      <c r="D141" s="778"/>
      <c r="E141" s="622"/>
      <c r="F141" s="622"/>
      <c r="G141" s="622"/>
      <c r="H141" s="623"/>
      <c r="I141" s="31">
        <f>IF(A141="","",MAX(I$10:I140)+1)</f>
        <v/>
      </c>
      <c r="J141" s="31">
        <f>IFERROR(INDEX($A$11:$A$100000,MATCH(ROW()-10,$I$11:$I$100000,0)),"")</f>
        <v/>
      </c>
      <c r="K141" s="608" t="s">
        <v>2694</v>
      </c>
    </row>
    <row r="142" ht="16.5" customHeight="1">
      <c r="A142" s="623"/>
      <c r="B142" s="624"/>
      <c r="C142" s="625"/>
      <c r="D142" s="778"/>
      <c r="E142" s="622"/>
      <c r="F142" s="622"/>
      <c r="G142" s="622"/>
      <c r="H142" s="623"/>
      <c r="I142" s="31">
        <f>IF(A142="","",MAX(I$10:I141)+1)</f>
        <v/>
      </c>
      <c r="J142" s="31">
        <f>IFERROR(INDEX($A$11:$A$100000,MATCH(ROW()-10,$I$11:$I$100000,0)),"")</f>
        <v/>
      </c>
      <c r="K142" s="608" t="s">
        <v>2695</v>
      </c>
    </row>
    <row r="143" ht="16.5" customHeight="1">
      <c r="A143" s="623"/>
      <c r="B143" s="624"/>
      <c r="C143" s="625"/>
      <c r="D143" s="778"/>
      <c r="E143" s="622"/>
      <c r="F143" s="622"/>
      <c r="G143" s="622"/>
      <c r="H143" s="623"/>
      <c r="I143" s="31">
        <f>IF(A143="","",MAX(I$10:I142)+1)</f>
        <v/>
      </c>
      <c r="J143" s="31">
        <f>IFERROR(INDEX($A$11:$A$100000,MATCH(ROW()-10,$I$11:$I$100000,0)),"")</f>
        <v/>
      </c>
      <c r="K143" s="608" t="s">
        <v>2696</v>
      </c>
    </row>
    <row r="144" ht="16.5" customHeight="1">
      <c r="A144" s="623"/>
      <c r="B144" s="624"/>
      <c r="C144" s="625"/>
      <c r="D144" s="778"/>
      <c r="E144" s="622"/>
      <c r="F144" s="622"/>
      <c r="G144" s="622"/>
      <c r="H144" s="623"/>
      <c r="I144" s="31">
        <f>IF(A144="","",MAX(I$10:I143)+1)</f>
        <v/>
      </c>
      <c r="J144" s="31">
        <f>IFERROR(INDEX($A$11:$A$100000,MATCH(ROW()-10,$I$11:$I$100000,0)),"")</f>
        <v/>
      </c>
      <c r="K144" s="608" t="s">
        <v>2697</v>
      </c>
    </row>
    <row r="145" ht="16.5" customHeight="1">
      <c r="A145" s="623"/>
      <c r="B145" s="624"/>
      <c r="C145" s="625"/>
      <c r="D145" s="778"/>
      <c r="E145" s="622"/>
      <c r="F145" s="622"/>
      <c r="G145" s="622"/>
      <c r="H145" s="623"/>
      <c r="I145" s="31">
        <f>IF(A145="","",MAX(I$10:I144)+1)</f>
        <v/>
      </c>
      <c r="J145" s="31">
        <f>IFERROR(INDEX($A$11:$A$100000,MATCH(ROW()-10,$I$11:$I$100000,0)),"")</f>
        <v/>
      </c>
      <c r="K145" s="608" t="s">
        <v>2698</v>
      </c>
    </row>
    <row r="146" ht="16.5" customHeight="1">
      <c r="A146" s="623"/>
      <c r="B146" s="624"/>
      <c r="C146" s="625"/>
      <c r="D146" s="778"/>
      <c r="E146" s="622"/>
      <c r="F146" s="622"/>
      <c r="G146" s="622"/>
      <c r="H146" s="623"/>
      <c r="I146" s="31">
        <f>IF(A146="","",MAX(I$10:I145)+1)</f>
        <v/>
      </c>
      <c r="J146" s="31">
        <f>IFERROR(INDEX($A$11:$A$100000,MATCH(ROW()-10,$I$11:$I$100000,0)),"")</f>
        <v/>
      </c>
      <c r="K146" s="608" t="s">
        <v>2699</v>
      </c>
    </row>
    <row r="147" ht="16.5" customHeight="1">
      <c r="A147" s="623"/>
      <c r="B147" s="624"/>
      <c r="C147" s="625"/>
      <c r="D147" s="778"/>
      <c r="E147" s="622"/>
      <c r="F147" s="622"/>
      <c r="G147" s="622"/>
      <c r="H147" s="623"/>
      <c r="I147" s="31">
        <f>IF(A147="","",MAX(I$10:I146)+1)</f>
        <v/>
      </c>
      <c r="J147" s="31">
        <f>IFERROR(INDEX($A$11:$A$100000,MATCH(ROW()-10,$I$11:$I$100000,0)),"")</f>
        <v/>
      </c>
      <c r="K147" s="608" t="s">
        <v>2700</v>
      </c>
    </row>
    <row r="148" ht="16.5" customHeight="1">
      <c r="A148" s="623"/>
      <c r="B148" s="624"/>
      <c r="C148" s="625"/>
      <c r="D148" s="778"/>
      <c r="E148" s="622"/>
      <c r="F148" s="622"/>
      <c r="G148" s="622"/>
      <c r="H148" s="623"/>
      <c r="I148" s="31">
        <f>IF(A148="","",MAX(I$10:I147)+1)</f>
        <v/>
      </c>
      <c r="J148" s="31">
        <f>IFERROR(INDEX($A$11:$A$100000,MATCH(ROW()-10,$I$11:$I$100000,0)),"")</f>
        <v/>
      </c>
      <c r="K148" s="608" t="s">
        <v>2701</v>
      </c>
    </row>
    <row r="149" ht="16.5" customHeight="1">
      <c r="A149" s="623"/>
      <c r="B149" s="624"/>
      <c r="C149" s="625"/>
      <c r="D149" s="778"/>
      <c r="E149" s="622"/>
      <c r="F149" s="622"/>
      <c r="G149" s="622"/>
      <c r="H149" s="623"/>
      <c r="I149" s="31">
        <f>IF(A149="","",MAX(I$10:I148)+1)</f>
        <v/>
      </c>
      <c r="J149" s="31">
        <f>IFERROR(INDEX($A$11:$A$100000,MATCH(ROW()-10,$I$11:$I$100000,0)),"")</f>
        <v/>
      </c>
      <c r="K149" s="608" t="s">
        <v>2702</v>
      </c>
    </row>
    <row r="150" ht="16.5" customHeight="1">
      <c r="A150" s="623"/>
      <c r="B150" s="624"/>
      <c r="C150" s="625"/>
      <c r="D150" s="778"/>
      <c r="E150" s="622"/>
      <c r="F150" s="622"/>
      <c r="G150" s="622"/>
      <c r="H150" s="623"/>
      <c r="I150" s="31">
        <f>IF(A150="","",MAX(I$10:I149)+1)</f>
        <v/>
      </c>
      <c r="J150" s="31">
        <f>IFERROR(INDEX($A$11:$A$100000,MATCH(ROW()-10,$I$11:$I$100000,0)),"")</f>
        <v/>
      </c>
      <c r="K150" s="608" t="s">
        <v>2703</v>
      </c>
    </row>
    <row r="151" ht="16.5" customHeight="1">
      <c r="A151" s="623"/>
      <c r="B151" s="624"/>
      <c r="C151" s="625"/>
      <c r="D151" s="778"/>
      <c r="E151" s="622"/>
      <c r="F151" s="622"/>
      <c r="G151" s="622"/>
      <c r="H151" s="623"/>
      <c r="I151" s="31">
        <f>IF(A151="","",MAX(I$10:I150)+1)</f>
        <v/>
      </c>
      <c r="J151" s="31">
        <f>IFERROR(INDEX($A$11:$A$100000,MATCH(ROW()-10,$I$11:$I$100000,0)),"")</f>
        <v/>
      </c>
      <c r="K151" s="608" t="s">
        <v>2704</v>
      </c>
    </row>
    <row r="152" ht="16.5" customHeight="1">
      <c r="A152" s="623"/>
      <c r="B152" s="624"/>
      <c r="C152" s="625"/>
      <c r="D152" s="778"/>
      <c r="E152" s="622"/>
      <c r="F152" s="622"/>
      <c r="G152" s="622"/>
      <c r="H152" s="623"/>
      <c r="I152" s="31">
        <f>IF(A152="","",MAX(I$10:I151)+1)</f>
        <v/>
      </c>
      <c r="J152" s="31">
        <f>IFERROR(INDEX($A$11:$A$100000,MATCH(ROW()-10,$I$11:$I$100000,0)),"")</f>
        <v/>
      </c>
      <c r="K152" s="608" t="s">
        <v>2705</v>
      </c>
    </row>
    <row r="153" ht="16.5" customHeight="1">
      <c r="A153" s="623"/>
      <c r="B153" s="624"/>
      <c r="C153" s="625"/>
      <c r="D153" s="778"/>
      <c r="E153" s="622"/>
      <c r="F153" s="622"/>
      <c r="G153" s="622"/>
      <c r="H153" s="623"/>
      <c r="I153" s="31">
        <f>IF(A153="","",MAX(I$10:I152)+1)</f>
        <v/>
      </c>
      <c r="J153" s="31">
        <f>IFERROR(INDEX($A$11:$A$100000,MATCH(ROW()-10,$I$11:$I$100000,0)),"")</f>
        <v/>
      </c>
      <c r="K153" s="608" t="s">
        <v>2706</v>
      </c>
    </row>
    <row r="154" ht="16.5" customHeight="1">
      <c r="A154" s="623"/>
      <c r="B154" s="624"/>
      <c r="C154" s="625"/>
      <c r="D154" s="778"/>
      <c r="E154" s="622"/>
      <c r="F154" s="622"/>
      <c r="G154" s="622"/>
      <c r="H154" s="623"/>
      <c r="I154" s="31">
        <f>IF(A154="","",MAX(I$10:I153)+1)</f>
        <v/>
      </c>
      <c r="J154" s="31">
        <f>IFERROR(INDEX($A$11:$A$100000,MATCH(ROW()-10,$I$11:$I$100000,0)),"")</f>
        <v/>
      </c>
      <c r="K154" s="608" t="s">
        <v>2707</v>
      </c>
    </row>
    <row r="155" ht="16.5" customHeight="1">
      <c r="A155" s="623"/>
      <c r="B155" s="624"/>
      <c r="C155" s="625"/>
      <c r="D155" s="778"/>
      <c r="E155" s="622"/>
      <c r="F155" s="622"/>
      <c r="G155" s="622"/>
      <c r="H155" s="623"/>
      <c r="I155" s="31">
        <f>IF(A155="","",MAX(I$10:I154)+1)</f>
        <v/>
      </c>
      <c r="J155" s="31">
        <f>IFERROR(INDEX($A$11:$A$100000,MATCH(ROW()-10,$I$11:$I$100000,0)),"")</f>
        <v/>
      </c>
      <c r="K155" s="608" t="s">
        <v>2563</v>
      </c>
    </row>
    <row r="156" ht="16.5" customHeight="1">
      <c r="A156" s="623"/>
      <c r="B156" s="624"/>
      <c r="C156" s="625"/>
      <c r="D156" s="778"/>
      <c r="E156" s="622"/>
      <c r="F156" s="622"/>
      <c r="G156" s="622"/>
      <c r="H156" s="623"/>
      <c r="I156" s="31">
        <f>IF(A156="","",MAX(I$10:I155)+1)</f>
        <v/>
      </c>
      <c r="J156" s="31">
        <f>IFERROR(INDEX($A$11:$A$100000,MATCH(ROW()-10,$I$11:$I$100000,0)),"")</f>
        <v/>
      </c>
      <c r="K156" s="608" t="s">
        <v>2708</v>
      </c>
    </row>
    <row r="157" ht="16.5" customHeight="1">
      <c r="A157" s="623"/>
      <c r="B157" s="624"/>
      <c r="C157" s="625"/>
      <c r="D157" s="778"/>
      <c r="E157" s="622"/>
      <c r="F157" s="622"/>
      <c r="G157" s="622"/>
      <c r="H157" s="623"/>
      <c r="I157" s="31">
        <f>IF(A157="","",MAX(I$10:I156)+1)</f>
        <v/>
      </c>
      <c r="J157" s="31">
        <f>IFERROR(INDEX($A$11:$A$100000,MATCH(ROW()-10,$I$11:$I$100000,0)),"")</f>
        <v/>
      </c>
      <c r="K157" s="608" t="s">
        <v>2700</v>
      </c>
    </row>
    <row r="158" ht="16.5" customHeight="1">
      <c r="A158" s="623"/>
      <c r="B158" s="624"/>
      <c r="C158" s="625"/>
      <c r="D158" s="778"/>
      <c r="E158" s="622"/>
      <c r="F158" s="622"/>
      <c r="G158" s="622"/>
      <c r="H158" s="623"/>
      <c r="I158" s="31">
        <f>IF(A158="","",MAX(I$10:I157)+1)</f>
        <v/>
      </c>
      <c r="J158" s="31">
        <f>IFERROR(INDEX($A$11:$A$100000,MATCH(ROW()-10,$I$11:$I$100000,0)),"")</f>
        <v/>
      </c>
      <c r="K158" s="608" t="s">
        <v>2701</v>
      </c>
    </row>
    <row r="159" ht="16.5" customHeight="1">
      <c r="A159" s="623"/>
      <c r="B159" s="624"/>
      <c r="C159" s="625"/>
      <c r="D159" s="778"/>
      <c r="E159" s="622"/>
      <c r="F159" s="622"/>
      <c r="G159" s="622"/>
      <c r="H159" s="623"/>
      <c r="I159" s="31">
        <f>IF(A159="","",MAX(I$10:I158)+1)</f>
        <v/>
      </c>
      <c r="J159" s="31">
        <f>IFERROR(INDEX($A$11:$A$100000,MATCH(ROW()-10,$I$11:$I$100000,0)),"")</f>
        <v/>
      </c>
      <c r="K159" s="608" t="s">
        <v>2702</v>
      </c>
    </row>
    <row r="160" ht="16.5" customHeight="1">
      <c r="A160" s="623"/>
      <c r="B160" s="624"/>
      <c r="C160" s="625"/>
      <c r="D160" s="778"/>
      <c r="E160" s="622"/>
      <c r="F160" s="622"/>
      <c r="G160" s="622"/>
      <c r="H160" s="623"/>
      <c r="I160" s="31">
        <f>IF(A160="","",MAX(I$10:I159)+1)</f>
        <v/>
      </c>
      <c r="J160" s="31">
        <f>IFERROR(INDEX($A$11:$A$100000,MATCH(ROW()-10,$I$11:$I$100000,0)),"")</f>
        <v/>
      </c>
      <c r="K160" s="608" t="s">
        <v>2703</v>
      </c>
    </row>
    <row r="161" ht="16.5" customHeight="1">
      <c r="A161" s="623"/>
      <c r="B161" s="624"/>
      <c r="C161" s="625"/>
      <c r="D161" s="778"/>
      <c r="E161" s="622"/>
      <c r="F161" s="622"/>
      <c r="G161" s="622"/>
      <c r="H161" s="623"/>
      <c r="I161" s="31">
        <f>IF(A161="","",MAX(I$10:I160)+1)</f>
        <v/>
      </c>
      <c r="J161" s="31">
        <f>IFERROR(INDEX($A$11:$A$100000,MATCH(ROW()-10,$I$11:$I$100000,0)),"")</f>
        <v/>
      </c>
      <c r="K161" s="608" t="s">
        <v>2704</v>
      </c>
    </row>
    <row r="162" ht="16.5" customHeight="1">
      <c r="A162" s="623"/>
      <c r="B162" s="624"/>
      <c r="C162" s="625"/>
      <c r="D162" s="778"/>
      <c r="E162" s="622"/>
      <c r="F162" s="622"/>
      <c r="G162" s="622"/>
      <c r="H162" s="623"/>
      <c r="I162" s="31">
        <f>IF(A162="","",MAX(I$10:I161)+1)</f>
        <v/>
      </c>
      <c r="J162" s="31">
        <f>IFERROR(INDEX($A$11:$A$100000,MATCH(ROW()-10,$I$11:$I$100000,0)),"")</f>
        <v/>
      </c>
      <c r="K162" s="608" t="s">
        <v>2705</v>
      </c>
    </row>
    <row r="163" ht="16.5" customHeight="1">
      <c r="A163" s="623"/>
      <c r="B163" s="624"/>
      <c r="C163" s="625"/>
      <c r="D163" s="778"/>
      <c r="E163" s="622"/>
      <c r="F163" s="622"/>
      <c r="G163" s="622"/>
      <c r="H163" s="623"/>
      <c r="I163" s="31">
        <f>IF(A163="","",MAX(I$10:I162)+1)</f>
        <v/>
      </c>
      <c r="J163" s="31">
        <f>IFERROR(INDEX($A$11:$A$100000,MATCH(ROW()-10,$I$11:$I$100000,0)),"")</f>
        <v/>
      </c>
      <c r="K163" s="608" t="s">
        <v>2706</v>
      </c>
    </row>
    <row r="164" ht="16.5" customHeight="1">
      <c r="A164" s="623"/>
      <c r="B164" s="624"/>
      <c r="C164" s="625"/>
      <c r="D164" s="778"/>
      <c r="E164" s="622"/>
      <c r="F164" s="622"/>
      <c r="G164" s="622"/>
      <c r="H164" s="623"/>
      <c r="I164" s="31">
        <f>IF(A164="","",MAX(I$10:I163)+1)</f>
        <v/>
      </c>
      <c r="J164" s="31">
        <f>IFERROR(INDEX($A$11:$A$100000,MATCH(ROW()-10,$I$11:$I$100000,0)),"")</f>
        <v/>
      </c>
      <c r="K164" s="608" t="s">
        <v>2707</v>
      </c>
    </row>
    <row r="165" ht="16.5" customHeight="1">
      <c r="A165" s="623"/>
      <c r="B165" s="624"/>
      <c r="C165" s="625"/>
      <c r="D165" s="778"/>
      <c r="E165" s="622"/>
      <c r="F165" s="622"/>
      <c r="G165" s="622"/>
      <c r="H165" s="623"/>
      <c r="I165" s="31">
        <f>IF(A165="","",MAX(I$10:I164)+1)</f>
        <v/>
      </c>
      <c r="J165" s="31">
        <f>IFERROR(INDEX($A$11:$A$100000,MATCH(ROW()-10,$I$11:$I$100000,0)),"")</f>
        <v/>
      </c>
      <c r="K165" s="608" t="s">
        <v>2563</v>
      </c>
    </row>
    <row r="166" ht="16.5" customHeight="1">
      <c r="A166" s="623"/>
      <c r="B166" s="624"/>
      <c r="C166" s="625"/>
      <c r="D166" s="778"/>
      <c r="E166" s="622"/>
      <c r="F166" s="622"/>
      <c r="G166" s="622"/>
      <c r="H166" s="623"/>
      <c r="I166" s="31">
        <f>IF(A166="","",MAX(I$10:I165)+1)</f>
        <v/>
      </c>
      <c r="J166" s="31">
        <f>IFERROR(INDEX($A$11:$A$100000,MATCH(ROW()-10,$I$11:$I$100000,0)),"")</f>
        <v/>
      </c>
      <c r="K166" s="608" t="s">
        <v>2708</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EC-AC429" error="建具の種類に不正な値が入力されています。選択項目から選択してください。" type="list" errorStyle="warning">
      <formula1>data!$J$2:$J$11</formula1>
    </dataValidation>
    <dataValidation sqref="E11:E1010" showErrorMessage="1" showInputMessage="1" allowBlank="1" errorTitle="EC-AC430"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2709</v>
      </c>
      <c r="D4" s="918"/>
      <c r="E4" s="918"/>
      <c r="F4" s="918"/>
      <c r="G4" s="918"/>
      <c r="H4" s="918"/>
      <c r="I4" s="918"/>
      <c r="J4" s="919"/>
      <c r="K4" s="246" t="s">
        <v>2131</v>
      </c>
      <c r="L4" s="40"/>
      <c r="M4" s="40"/>
    </row>
    <row r="5" ht="20.25" customHeight="1" s="30" customFormat="1">
      <c r="A5" s="247"/>
      <c r="B5" s="248"/>
      <c r="C5" s="249" t="s">
        <v>2103</v>
      </c>
      <c r="D5" s="249" t="s">
        <v>2106</v>
      </c>
      <c r="E5" s="250" t="s">
        <v>2106</v>
      </c>
      <c r="F5" s="917" t="s">
        <v>2710</v>
      </c>
      <c r="G5" s="919"/>
      <c r="H5" s="920" t="s">
        <v>2711</v>
      </c>
      <c r="I5" s="918"/>
      <c r="J5" s="919"/>
      <c r="K5" s="248"/>
    </row>
    <row r="6" ht="20.25" customHeight="1" s="86" customFormat="1">
      <c r="A6" s="251" t="s">
        <v>2146</v>
      </c>
      <c r="B6" s="252" t="s">
        <v>2219</v>
      </c>
      <c r="C6" s="253"/>
      <c r="D6" s="254"/>
      <c r="E6" s="201"/>
      <c r="F6" s="255" t="s">
        <v>2109</v>
      </c>
      <c r="G6" s="990" t="s">
        <v>2116</v>
      </c>
      <c r="H6" s="255" t="s">
        <v>2119</v>
      </c>
      <c r="I6" s="991" t="s">
        <v>2122</v>
      </c>
      <c r="J6" s="992" t="s">
        <v>2128</v>
      </c>
      <c r="K6" s="252" t="s">
        <v>2158</v>
      </c>
    </row>
    <row r="7" ht="42.75" customHeight="1" s="21" customFormat="1">
      <c r="A7" s="247"/>
      <c r="B7" s="248"/>
      <c r="C7" s="256" t="s">
        <v>2712</v>
      </c>
      <c r="D7" s="256" t="s">
        <v>2713</v>
      </c>
      <c r="E7" s="194" t="s">
        <v>2714</v>
      </c>
      <c r="F7" s="257" t="s">
        <v>2351</v>
      </c>
      <c r="G7" s="993" t="s">
        <v>2715</v>
      </c>
      <c r="H7" s="257" t="s">
        <v>2547</v>
      </c>
      <c r="I7" s="994" t="s">
        <v>2716</v>
      </c>
      <c r="J7" s="995" t="s">
        <v>2717</v>
      </c>
      <c r="K7" s="248"/>
    </row>
    <row r="8" ht="18" customHeight="1" s="41" customFormat="1">
      <c r="A8" s="254"/>
      <c r="B8" s="201"/>
      <c r="C8" s="251"/>
      <c r="D8" s="251" t="s">
        <v>2368</v>
      </c>
      <c r="E8" s="252" t="s">
        <v>2368</v>
      </c>
      <c r="F8" s="251"/>
      <c r="G8" s="996" t="s">
        <v>2161</v>
      </c>
      <c r="H8" s="251"/>
      <c r="I8" s="996" t="s">
        <v>2161</v>
      </c>
      <c r="J8" s="997"/>
      <c r="K8" s="201"/>
    </row>
    <row r="9" ht="18" customHeight="1" s="91" customFormat="1">
      <c r="A9" s="258" t="s">
        <v>2223</v>
      </c>
      <c r="B9" s="259" t="s">
        <v>2223</v>
      </c>
      <c r="C9" s="251" t="s">
        <v>2163</v>
      </c>
      <c r="D9" s="251"/>
      <c r="E9" s="252"/>
      <c r="F9" s="260" t="s">
        <v>2223</v>
      </c>
      <c r="G9" s="261"/>
      <c r="H9" s="262" t="s">
        <v>2223</v>
      </c>
      <c r="I9" s="998"/>
      <c r="J9" s="263" t="s">
        <v>2163</v>
      </c>
      <c r="K9" s="259"/>
    </row>
    <row r="10" ht="6.75" customHeight="1" s="21" customFormat="1">
      <c r="A10" s="264"/>
      <c r="B10" s="213"/>
      <c r="C10" s="265"/>
      <c r="D10" s="265"/>
      <c r="E10" s="266"/>
      <c r="F10" s="265"/>
      <c r="G10" s="267"/>
      <c r="H10" s="627"/>
      <c r="I10" s="268"/>
      <c r="J10" s="267"/>
      <c r="K10" s="213"/>
    </row>
    <row r="11" ht="27.75" customHeight="1">
      <c r="A11" s="99" t="s">
        <v>2165</v>
      </c>
      <c r="B11" s="100" t="s">
        <v>2166</v>
      </c>
      <c r="C11" s="99" t="s">
        <v>2718</v>
      </c>
      <c r="D11" s="99" t="s">
        <v>2173</v>
      </c>
      <c r="E11" s="100" t="s">
        <v>2173</v>
      </c>
      <c r="F11" s="449" t="s">
        <v>2375</v>
      </c>
      <c r="G11" s="397" t="s">
        <v>2719</v>
      </c>
      <c r="H11" s="109" t="s">
        <v>2561</v>
      </c>
      <c r="I11" s="145" t="s">
        <v>2720</v>
      </c>
      <c r="J11" s="100" t="s">
        <v>2721</v>
      </c>
      <c r="K11" s="100" t="s">
        <v>2173</v>
      </c>
    </row>
    <row r="12" ht="27.75" customHeight="1">
      <c r="A12" s="103" t="s">
        <v>2173</v>
      </c>
      <c r="B12" s="104" t="s">
        <v>2173</v>
      </c>
      <c r="C12" s="102" t="s">
        <v>2722</v>
      </c>
      <c r="D12" s="103" t="s">
        <v>2173</v>
      </c>
      <c r="E12" s="104" t="s">
        <v>2173</v>
      </c>
      <c r="F12" s="450" t="s">
        <v>2375</v>
      </c>
      <c r="G12" s="398" t="s">
        <v>2723</v>
      </c>
      <c r="H12" s="113" t="s">
        <v>2561</v>
      </c>
      <c r="I12" s="173" t="s">
        <v>2724</v>
      </c>
      <c r="J12" s="104" t="s">
        <v>2721</v>
      </c>
      <c r="K12" s="104" t="s">
        <v>2173</v>
      </c>
    </row>
    <row r="13" ht="27.75" customHeight="1">
      <c r="A13" s="103" t="s">
        <v>2173</v>
      </c>
      <c r="B13" s="104" t="s">
        <v>2173</v>
      </c>
      <c r="C13" s="102" t="s">
        <v>2725</v>
      </c>
      <c r="D13" s="103"/>
      <c r="E13" s="104"/>
      <c r="F13" s="450" t="s">
        <v>2438</v>
      </c>
      <c r="G13" s="398" t="s">
        <v>2726</v>
      </c>
      <c r="H13" s="113"/>
      <c r="I13" s="173"/>
      <c r="J13" s="104"/>
      <c r="K13" s="104" t="s">
        <v>2173</v>
      </c>
    </row>
    <row r="14" ht="27.75" customHeight="1">
      <c r="A14" s="103" t="s">
        <v>2165</v>
      </c>
      <c r="B14" s="104" t="s">
        <v>2189</v>
      </c>
      <c r="C14" s="102" t="s">
        <v>2722</v>
      </c>
      <c r="D14" s="103" t="s">
        <v>2173</v>
      </c>
      <c r="E14" s="104" t="s">
        <v>2173</v>
      </c>
      <c r="F14" s="450" t="s">
        <v>2375</v>
      </c>
      <c r="G14" s="398" t="s">
        <v>2727</v>
      </c>
      <c r="H14" s="113" t="s">
        <v>2561</v>
      </c>
      <c r="I14" s="173" t="s">
        <v>2728</v>
      </c>
      <c r="J14" s="104" t="s">
        <v>2729</v>
      </c>
      <c r="K14" s="104" t="s">
        <v>2173</v>
      </c>
    </row>
    <row r="15" ht="27.75" customHeight="1">
      <c r="A15" s="103" t="s">
        <v>2173</v>
      </c>
      <c r="B15" s="104" t="s">
        <v>2173</v>
      </c>
      <c r="C15" s="102" t="s">
        <v>2725</v>
      </c>
      <c r="D15" s="103"/>
      <c r="E15" s="104"/>
      <c r="F15" s="450" t="s">
        <v>2438</v>
      </c>
      <c r="G15" s="398" t="s">
        <v>2191</v>
      </c>
      <c r="H15" s="113"/>
      <c r="I15" s="173"/>
      <c r="J15" s="104"/>
      <c r="K15" s="104" t="s">
        <v>2173</v>
      </c>
    </row>
    <row r="16" ht="27.75" customHeight="1">
      <c r="A16" s="103" t="s">
        <v>2165</v>
      </c>
      <c r="B16" s="104" t="s">
        <v>2194</v>
      </c>
      <c r="C16" s="102" t="s">
        <v>2718</v>
      </c>
      <c r="D16" s="103" t="s">
        <v>2173</v>
      </c>
      <c r="E16" s="104" t="s">
        <v>2173</v>
      </c>
      <c r="F16" s="450" t="s">
        <v>2375</v>
      </c>
      <c r="G16" s="398" t="s">
        <v>2730</v>
      </c>
      <c r="H16" s="113" t="s">
        <v>2561</v>
      </c>
      <c r="I16" s="173" t="s">
        <v>2731</v>
      </c>
      <c r="J16" s="104" t="s">
        <v>2721</v>
      </c>
      <c r="K16" s="104" t="s">
        <v>2173</v>
      </c>
    </row>
    <row r="17" ht="27.75" customHeight="1">
      <c r="A17" s="103" t="s">
        <v>2173</v>
      </c>
      <c r="B17" s="104" t="s">
        <v>2173</v>
      </c>
      <c r="C17" s="102" t="s">
        <v>2732</v>
      </c>
      <c r="D17" s="103" t="s">
        <v>2173</v>
      </c>
      <c r="E17" s="104" t="s">
        <v>2173</v>
      </c>
      <c r="F17" s="450" t="s">
        <v>2375</v>
      </c>
      <c r="G17" s="398" t="s">
        <v>2733</v>
      </c>
      <c r="H17" s="113" t="s">
        <v>2561</v>
      </c>
      <c r="I17" s="173" t="s">
        <v>2734</v>
      </c>
      <c r="J17" s="104" t="s">
        <v>2721</v>
      </c>
      <c r="K17" s="104" t="s">
        <v>2173</v>
      </c>
    </row>
    <row r="18" ht="27.75" customHeight="1">
      <c r="A18" s="103" t="s">
        <v>2173</v>
      </c>
      <c r="B18" s="104" t="s">
        <v>2173</v>
      </c>
      <c r="C18" s="102" t="s">
        <v>2735</v>
      </c>
      <c r="D18" s="103" t="s">
        <v>2173</v>
      </c>
      <c r="E18" s="104" t="s">
        <v>2173</v>
      </c>
      <c r="F18" s="450" t="s">
        <v>2375</v>
      </c>
      <c r="G18" s="398" t="s">
        <v>2730</v>
      </c>
      <c r="H18" s="113" t="s">
        <v>2561</v>
      </c>
      <c r="I18" s="173" t="s">
        <v>2731</v>
      </c>
      <c r="J18" s="104" t="s">
        <v>2721</v>
      </c>
      <c r="K18" s="104" t="s">
        <v>2173</v>
      </c>
    </row>
    <row r="19" ht="27.75" customHeight="1">
      <c r="A19" s="103" t="s">
        <v>2173</v>
      </c>
      <c r="B19" s="104" t="s">
        <v>2173</v>
      </c>
      <c r="C19" s="102" t="s">
        <v>2725</v>
      </c>
      <c r="D19" s="103"/>
      <c r="E19" s="104"/>
      <c r="F19" s="450" t="s">
        <v>2438</v>
      </c>
      <c r="G19" s="398" t="s">
        <v>2736</v>
      </c>
      <c r="H19" s="113"/>
      <c r="I19" s="173"/>
      <c r="J19" s="104"/>
      <c r="K19" s="104" t="s">
        <v>2173</v>
      </c>
    </row>
    <row r="20" ht="27.75" customHeight="1">
      <c r="A20" s="103" t="s">
        <v>2196</v>
      </c>
      <c r="B20" s="104" t="s">
        <v>2189</v>
      </c>
      <c r="C20" s="102" t="s">
        <v>2722</v>
      </c>
      <c r="D20" s="103"/>
      <c r="E20" s="104"/>
      <c r="F20" s="450" t="s">
        <v>2375</v>
      </c>
      <c r="G20" s="398" t="s">
        <v>2737</v>
      </c>
      <c r="H20" s="113"/>
      <c r="I20" s="173"/>
      <c r="J20" s="104"/>
      <c r="K20" s="104" t="s">
        <v>2173</v>
      </c>
    </row>
    <row r="21" ht="27.75" customHeight="1">
      <c r="A21" s="103" t="s">
        <v>2173</v>
      </c>
      <c r="B21" s="104" t="s">
        <v>2173</v>
      </c>
      <c r="C21" s="102" t="s">
        <v>2738</v>
      </c>
      <c r="D21" s="103"/>
      <c r="E21" s="104"/>
      <c r="F21" s="450" t="s">
        <v>2410</v>
      </c>
      <c r="G21" s="398" t="s">
        <v>2211</v>
      </c>
      <c r="H21" s="113"/>
      <c r="I21" s="173"/>
      <c r="J21" s="104"/>
      <c r="K21" s="104" t="s">
        <v>2173</v>
      </c>
    </row>
    <row r="22" ht="27.75" customHeight="1">
      <c r="A22" s="103" t="s">
        <v>2196</v>
      </c>
      <c r="B22" s="104" t="s">
        <v>2194</v>
      </c>
      <c r="C22" s="102" t="s">
        <v>2718</v>
      </c>
      <c r="D22" s="103" t="s">
        <v>2173</v>
      </c>
      <c r="E22" s="104" t="s">
        <v>2173</v>
      </c>
      <c r="F22" s="450" t="s">
        <v>2375</v>
      </c>
      <c r="G22" s="398" t="s">
        <v>2739</v>
      </c>
      <c r="H22" s="113" t="s">
        <v>2561</v>
      </c>
      <c r="I22" s="173" t="s">
        <v>2740</v>
      </c>
      <c r="J22" s="104" t="s">
        <v>2721</v>
      </c>
      <c r="K22" s="104" t="s">
        <v>2173</v>
      </c>
    </row>
    <row r="23" ht="27.75" customHeight="1">
      <c r="A23" s="103" t="s">
        <v>2173</v>
      </c>
      <c r="B23" s="104" t="s">
        <v>2173</v>
      </c>
      <c r="C23" s="102" t="s">
        <v>2732</v>
      </c>
      <c r="D23" s="103" t="s">
        <v>2173</v>
      </c>
      <c r="E23" s="104" t="s">
        <v>2173</v>
      </c>
      <c r="F23" s="450" t="s">
        <v>2375</v>
      </c>
      <c r="G23" s="398" t="s">
        <v>2741</v>
      </c>
      <c r="H23" s="113" t="s">
        <v>2561</v>
      </c>
      <c r="I23" s="173" t="s">
        <v>2742</v>
      </c>
      <c r="J23" s="104" t="s">
        <v>2721</v>
      </c>
      <c r="K23" s="104" t="s">
        <v>2173</v>
      </c>
    </row>
    <row r="24" ht="27.75" customHeight="1">
      <c r="A24" s="103" t="s">
        <v>2173</v>
      </c>
      <c r="B24" s="104" t="s">
        <v>2173</v>
      </c>
      <c r="C24" s="102" t="s">
        <v>2735</v>
      </c>
      <c r="D24" s="103" t="s">
        <v>2173</v>
      </c>
      <c r="E24" s="104" t="s">
        <v>2173</v>
      </c>
      <c r="F24" s="450" t="s">
        <v>2375</v>
      </c>
      <c r="G24" s="398" t="s">
        <v>2739</v>
      </c>
      <c r="H24" s="113" t="s">
        <v>2561</v>
      </c>
      <c r="I24" s="173" t="s">
        <v>2740</v>
      </c>
      <c r="J24" s="104" t="s">
        <v>2721</v>
      </c>
      <c r="K24" s="104" t="s">
        <v>2173</v>
      </c>
    </row>
    <row r="25" ht="27.75" customHeight="1">
      <c r="A25" s="103" t="s">
        <v>2173</v>
      </c>
      <c r="B25" s="104" t="s">
        <v>2173</v>
      </c>
      <c r="C25" s="102" t="s">
        <v>2738</v>
      </c>
      <c r="D25" s="103"/>
      <c r="E25" s="104"/>
      <c r="F25" s="450" t="s">
        <v>2410</v>
      </c>
      <c r="G25" s="398" t="s">
        <v>2736</v>
      </c>
      <c r="H25" s="113"/>
      <c r="I25" s="173"/>
      <c r="J25" s="104"/>
      <c r="K25" s="104" t="s">
        <v>2173</v>
      </c>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EC-AC124" error="方位に不正な値が入力されています。選択項目から選択してください。" type="list" errorStyle="warning">
      <formula1>data!$L$2:$L$11</formula1>
    </dataValidation>
    <dataValidation sqref="J11:J1010" showErrorMessage="1" showInputMessage="1" allowBlank="1" errorTitle="EC-AC150"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2743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2744</v>
      </c>
    </row>
    <row r="3" ht="24" customHeight="1">
      <c r="A3" s="269" t="s">
        <v>2100</v>
      </c>
      <c r="B3" s="270" t="s">
        <v>2103</v>
      </c>
      <c r="C3" s="246" t="s">
        <v>2106</v>
      </c>
      <c r="D3" s="921" t="s">
        <v>2745</v>
      </c>
      <c r="E3" s="919"/>
      <c r="F3" s="271" t="s">
        <v>2119</v>
      </c>
      <c r="G3" s="921" t="s">
        <v>2746</v>
      </c>
      <c r="H3" s="918"/>
      <c r="I3" s="918"/>
      <c r="J3" s="918"/>
      <c r="K3" s="918"/>
      <c r="L3" s="918"/>
      <c r="M3" s="918"/>
      <c r="N3" s="918"/>
      <c r="O3" s="918"/>
      <c r="P3" s="919"/>
      <c r="Q3" s="921" t="s">
        <v>2747</v>
      </c>
      <c r="R3" s="918"/>
      <c r="S3" s="918"/>
      <c r="T3" s="918"/>
      <c r="U3" s="918"/>
      <c r="V3" s="918"/>
      <c r="W3" s="919"/>
      <c r="X3" s="272" t="s">
        <v>2748</v>
      </c>
      <c r="Z3" s="31" t="s">
        <v>2749</v>
      </c>
    </row>
    <row r="4" ht="19.5" customHeight="1">
      <c r="A4" s="283"/>
      <c r="B4" s="274"/>
      <c r="C4" s="275"/>
      <c r="D4" s="255" t="s">
        <v>2109</v>
      </c>
      <c r="E4" s="250" t="s">
        <v>2116</v>
      </c>
      <c r="F4" s="285"/>
      <c r="G4" s="255" t="s">
        <v>2122</v>
      </c>
      <c r="H4" s="277" t="s">
        <v>2128</v>
      </c>
      <c r="I4" s="270" t="s">
        <v>2131</v>
      </c>
      <c r="J4" s="1002" t="s">
        <v>2134</v>
      </c>
      <c r="K4" s="1002" t="s">
        <v>2137</v>
      </c>
      <c r="L4" s="1002" t="s">
        <v>2140</v>
      </c>
      <c r="M4" s="1003" t="s">
        <v>2143</v>
      </c>
      <c r="N4" s="917" t="s">
        <v>2750</v>
      </c>
      <c r="O4" s="918"/>
      <c r="P4" s="919"/>
      <c r="Q4" s="255" t="s">
        <v>2122</v>
      </c>
      <c r="R4" s="277" t="s">
        <v>2128</v>
      </c>
      <c r="S4" s="270" t="s">
        <v>2131</v>
      </c>
      <c r="T4" s="1002" t="s">
        <v>2134</v>
      </c>
      <c r="U4" s="1002" t="s">
        <v>2137</v>
      </c>
      <c r="V4" s="1002" t="s">
        <v>2140</v>
      </c>
      <c r="W4" s="1003" t="s">
        <v>2143</v>
      </c>
      <c r="X4" s="278"/>
      <c r="Z4" s="31" t="s">
        <v>2751</v>
      </c>
    </row>
    <row r="5" ht="19.5" customHeight="1">
      <c r="A5" s="283"/>
      <c r="B5" s="274"/>
      <c r="C5" s="275"/>
      <c r="D5" s="279"/>
      <c r="E5" s="252"/>
      <c r="F5" s="285"/>
      <c r="G5" s="280"/>
      <c r="H5" s="281"/>
      <c r="I5" s="282"/>
      <c r="J5" s="1004"/>
      <c r="K5" s="1004"/>
      <c r="L5" s="1004"/>
      <c r="M5" s="1005"/>
      <c r="N5" s="249" t="s">
        <v>2752</v>
      </c>
      <c r="O5" s="1006" t="s">
        <v>2753</v>
      </c>
      <c r="P5" s="1003" t="s">
        <v>2754</v>
      </c>
      <c r="Q5" s="280"/>
      <c r="R5" s="281"/>
      <c r="S5" s="282"/>
      <c r="T5" s="1004"/>
      <c r="U5" s="1004"/>
      <c r="V5" s="1004"/>
      <c r="W5" s="1005"/>
      <c r="X5" s="278"/>
      <c r="Z5" s="31" t="s">
        <v>2755</v>
      </c>
    </row>
    <row r="6" ht="93.75" customHeight="1" s="32" customFormat="1">
      <c r="A6" s="283" t="s">
        <v>2756</v>
      </c>
      <c r="B6" s="274" t="s">
        <v>2757</v>
      </c>
      <c r="C6" s="275" t="s">
        <v>2758</v>
      </c>
      <c r="D6" s="284" t="s">
        <v>2759</v>
      </c>
      <c r="E6" s="275" t="s">
        <v>2760</v>
      </c>
      <c r="F6" s="285" t="s">
        <v>2761</v>
      </c>
      <c r="G6" s="279" t="s">
        <v>2762</v>
      </c>
      <c r="H6" s="281" t="s">
        <v>2763</v>
      </c>
      <c r="I6" s="282" t="s">
        <v>2764</v>
      </c>
      <c r="J6" s="1004" t="s">
        <v>2765</v>
      </c>
      <c r="K6" s="1004" t="s">
        <v>2766</v>
      </c>
      <c r="L6" s="1004" t="s">
        <v>2767</v>
      </c>
      <c r="M6" s="1005" t="s">
        <v>2768</v>
      </c>
      <c r="N6" s="1007" t="s">
        <v>2765</v>
      </c>
      <c r="O6" s="1004" t="s">
        <v>2769</v>
      </c>
      <c r="P6" s="1005" t="s">
        <v>2770</v>
      </c>
      <c r="Q6" s="279" t="s">
        <v>2762</v>
      </c>
      <c r="R6" s="281" t="s">
        <v>2763</v>
      </c>
      <c r="S6" s="282" t="s">
        <v>2764</v>
      </c>
      <c r="T6" s="1004" t="s">
        <v>2771</v>
      </c>
      <c r="U6" s="1004" t="s">
        <v>2766</v>
      </c>
      <c r="V6" s="1004" t="s">
        <v>2767</v>
      </c>
      <c r="W6" s="1005" t="s">
        <v>2768</v>
      </c>
      <c r="X6" s="278" t="s">
        <v>2158</v>
      </c>
      <c r="Z6" s="32" t="s">
        <v>2772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2773</v>
      </c>
      <c r="Z7" s="32" t="s">
        <v>2774</v>
      </c>
    </row>
    <row r="8" ht="17.75" customHeight="1" s="32" customFormat="1">
      <c r="A8" s="251"/>
      <c r="B8" s="286"/>
      <c r="C8" s="287"/>
      <c r="D8" s="288"/>
      <c r="E8" s="252" t="s">
        <v>2775</v>
      </c>
      <c r="F8" s="290"/>
      <c r="G8" s="284"/>
      <c r="H8" s="281" t="s">
        <v>2776</v>
      </c>
      <c r="I8" s="285" t="s">
        <v>2777</v>
      </c>
      <c r="J8" s="1010" t="s">
        <v>2778</v>
      </c>
      <c r="K8" s="1004" t="s">
        <v>2778</v>
      </c>
      <c r="L8" s="1004" t="s">
        <v>2778</v>
      </c>
      <c r="M8" s="1011" t="s">
        <v>2778</v>
      </c>
      <c r="N8" s="1012" t="s">
        <v>2778</v>
      </c>
      <c r="O8" s="1004" t="s">
        <v>2778</v>
      </c>
      <c r="P8" s="1005" t="s">
        <v>2778</v>
      </c>
      <c r="Q8" s="284"/>
      <c r="R8" s="281" t="s">
        <v>2776</v>
      </c>
      <c r="S8" s="285" t="s">
        <v>2777</v>
      </c>
      <c r="T8" s="1010" t="s">
        <v>2778</v>
      </c>
      <c r="U8" s="1004" t="s">
        <v>2778</v>
      </c>
      <c r="V8" s="1004" t="s">
        <v>2778</v>
      </c>
      <c r="W8" s="1005" t="s">
        <v>2778</v>
      </c>
      <c r="X8" s="278" t="s">
        <v>2779</v>
      </c>
      <c r="Z8" s="32" t="s">
        <v>2780</v>
      </c>
    </row>
    <row r="9" ht="17.75" customHeight="1" s="38" customFormat="1">
      <c r="A9" s="251"/>
      <c r="B9" s="251" t="s">
        <v>2163</v>
      </c>
      <c r="C9" s="252" t="s">
        <v>2163</v>
      </c>
      <c r="D9" s="279" t="s">
        <v>2163</v>
      </c>
      <c r="E9" s="252"/>
      <c r="F9" s="285" t="s">
        <v>2163</v>
      </c>
      <c r="G9" s="279" t="s">
        <v>2163</v>
      </c>
      <c r="H9" s="281"/>
      <c r="I9" s="285"/>
      <c r="J9" s="1010"/>
      <c r="K9" s="1004"/>
      <c r="L9" s="1004"/>
      <c r="M9" s="1011"/>
      <c r="N9" s="1012"/>
      <c r="O9" s="1004"/>
      <c r="P9" s="1005"/>
      <c r="Q9" s="279" t="s">
        <v>2163</v>
      </c>
      <c r="R9" s="281"/>
      <c r="S9" s="285"/>
      <c r="T9" s="1010"/>
      <c r="U9" s="1004"/>
      <c r="V9" s="1004"/>
      <c r="W9" s="1005"/>
      <c r="X9" s="278"/>
      <c r="Z9" s="38" t="s">
        <v>2781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2782</v>
      </c>
    </row>
    <row r="11" ht="27" customHeight="1">
      <c r="A11" s="99" t="s">
        <v>2783</v>
      </c>
      <c r="B11" s="99" t="s">
        <v>2729</v>
      </c>
      <c r="C11" s="100" t="s">
        <v>2729</v>
      </c>
      <c r="D11" s="109" t="s">
        <v>2729</v>
      </c>
      <c r="E11" s="100" t="s">
        <v>2173</v>
      </c>
      <c r="F11" s="636" t="s">
        <v>2784</v>
      </c>
      <c r="G11" s="99" t="s">
        <v>2785</v>
      </c>
      <c r="H11" s="101" t="s">
        <v>2343</v>
      </c>
      <c r="I11" s="636" t="s">
        <v>2173</v>
      </c>
      <c r="J11" s="101" t="s">
        <v>2786</v>
      </c>
      <c r="K11" s="101" t="s">
        <v>2787</v>
      </c>
      <c r="L11" s="101" t="s">
        <v>2173</v>
      </c>
      <c r="M11" s="101" t="s">
        <v>2173</v>
      </c>
      <c r="N11" s="109" t="s">
        <v>2173</v>
      </c>
      <c r="O11" s="101" t="s">
        <v>2173</v>
      </c>
      <c r="P11" s="100" t="s">
        <v>2173</v>
      </c>
      <c r="Q11" s="101" t="s">
        <v>2785</v>
      </c>
      <c r="R11" s="110" t="s">
        <v>2343</v>
      </c>
      <c r="S11" s="101" t="s">
        <v>2173</v>
      </c>
      <c r="T11" s="101" t="s">
        <v>2788</v>
      </c>
      <c r="U11" s="101" t="s">
        <v>2789</v>
      </c>
      <c r="V11" s="101" t="s">
        <v>2173</v>
      </c>
      <c r="W11" s="101" t="s">
        <v>2173</v>
      </c>
      <c r="X11" s="107" t="s">
        <v>2173</v>
      </c>
      <c r="Z11" s="608" t="s">
        <v>2790</v>
      </c>
    </row>
    <row r="12" ht="27" customHeight="1">
      <c r="A12" s="102" t="s">
        <v>2791</v>
      </c>
      <c r="B12" s="103" t="s">
        <v>2729</v>
      </c>
      <c r="C12" s="104" t="s">
        <v>2729</v>
      </c>
      <c r="D12" s="114" t="s">
        <v>2729</v>
      </c>
      <c r="E12" s="115" t="s">
        <v>2173</v>
      </c>
      <c r="F12" s="105" t="s">
        <v>2784</v>
      </c>
      <c r="G12" s="103" t="s">
        <v>2785</v>
      </c>
      <c r="H12" s="113" t="s">
        <v>2343</v>
      </c>
      <c r="I12" s="105" t="s">
        <v>2173</v>
      </c>
      <c r="J12" s="113" t="s">
        <v>2792</v>
      </c>
      <c r="K12" s="113" t="s">
        <v>2793</v>
      </c>
      <c r="L12" s="113" t="s">
        <v>2173</v>
      </c>
      <c r="M12" s="113" t="s">
        <v>2173</v>
      </c>
      <c r="N12" s="114" t="s">
        <v>2173</v>
      </c>
      <c r="O12" s="113" t="s">
        <v>2173</v>
      </c>
      <c r="P12" s="115" t="s">
        <v>2173</v>
      </c>
      <c r="Q12" s="106" t="s">
        <v>2785</v>
      </c>
      <c r="R12" s="116" t="s">
        <v>2343</v>
      </c>
      <c r="S12" s="113" t="s">
        <v>2173</v>
      </c>
      <c r="T12" s="113" t="s">
        <v>2415</v>
      </c>
      <c r="U12" s="113" t="s">
        <v>2794</v>
      </c>
      <c r="V12" s="113" t="s">
        <v>2173</v>
      </c>
      <c r="W12" s="113" t="s">
        <v>2173</v>
      </c>
      <c r="X12" s="108" t="s">
        <v>2173</v>
      </c>
      <c r="Z12" s="608" t="s">
        <v>2795</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08" t="s">
        <v>2796</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2797</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2798</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2799</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2800</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2801</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2802</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2803</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2804</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2805</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2806</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2807</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2808</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2809</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2810</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2811</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2812</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2813</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2814</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2815</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2816</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2817</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2818</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2819</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2820</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2821</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2822</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2823</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2824</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2825</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2826</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2827</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2828</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2829</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2830</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2831</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2832</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2833</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2834</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2835</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2836</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2837</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2838</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2839</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2840</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2841</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2842</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2784</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2843</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2844</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2845</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2846</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2847</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2848</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2849</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2850</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2851</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2852</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2853</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2854</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2855</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2856</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2857</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2858</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2859</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2860</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2861</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2862</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2863</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2864</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2865</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2866</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2867</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2868</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2869</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2870</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2871</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2872</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2873</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2864</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2865</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2866</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2867</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2868</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2869</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2870</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2871</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2872</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2873</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EC-AC155" error="冷熱同時供給有無に不正な値が入力されています。選択項目から選択してください。" type="list" errorStyle="warning">
      <formula1>data!$M$2:$M$3</formula1>
    </dataValidation>
    <dataValidation sqref="C11:C1010" showErrorMessage="1" showInputMessage="1" allowBlank="1" errorTitle="EC-AC156" error="台数制御に不正な値が入力されています。選択項目から選択してください。" type="list" errorStyle="warning">
      <formula1>data!$M$2:$M$3</formula1>
    </dataValidation>
    <dataValidation sqref="D11:D1010" showErrorMessage="1" showInputMessage="1" allowBlank="1" errorTitle="EC-AC158" error="運転モードに不正な値が入力されています。選択項目から選択してください。" type="list" errorStyle="warning">
      <formula1>data!$N$2:$N$6</formula1>
    </dataValidation>
    <dataValidation sqref="F11:F1010" showErrorMessage="1" showInputMessage="1" allowBlank="1" errorTitle="EC-AC165" error="熱源機種に不正な値が入力されています。選択項目から選択してください。" type="list" errorStyle="warning">
      <formula1>data!$O$2:$O$92</formula1>
    </dataValidation>
    <dataValidation sqref="G11:G1010" showErrorMessage="1" showInputMessage="1" allowBlank="1" errorTitle="EC-AC364"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EC-AC365"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2122</v>
      </c>
      <c r="I3" s="1014" t="s">
        <v>2128</v>
      </c>
      <c r="J3" s="295" t="s">
        <v>2131</v>
      </c>
      <c r="K3" s="272" t="s">
        <v>2134</v>
      </c>
    </row>
    <row r="4" ht="10.25" customHeight="1" s="32" customFormat="1">
      <c r="A4" s="251"/>
      <c r="B4" s="283"/>
      <c r="C4" s="221"/>
      <c r="D4" s="296"/>
      <c r="E4" s="257"/>
      <c r="F4" s="281"/>
      <c r="G4" s="1010"/>
      <c r="H4" s="1004"/>
      <c r="I4" s="257"/>
      <c r="J4" s="222"/>
      <c r="K4" s="278"/>
    </row>
    <row r="5" ht="55.5" customHeight="1" s="32" customFormat="1">
      <c r="A5" s="297" t="s">
        <v>2874</v>
      </c>
      <c r="B5" s="283" t="s">
        <v>2875</v>
      </c>
      <c r="C5" s="221" t="s">
        <v>2876</v>
      </c>
      <c r="D5" s="296" t="s">
        <v>2877</v>
      </c>
      <c r="E5" s="257" t="s">
        <v>2762</v>
      </c>
      <c r="F5" s="281" t="s">
        <v>2763</v>
      </c>
      <c r="G5" s="1010" t="s">
        <v>2878</v>
      </c>
      <c r="H5" s="1004" t="s">
        <v>2879</v>
      </c>
      <c r="I5" s="257" t="s">
        <v>2880</v>
      </c>
      <c r="J5" s="222" t="s">
        <v>2881</v>
      </c>
      <c r="K5" s="278" t="s">
        <v>2158</v>
      </c>
    </row>
    <row r="6" s="32" customFormat="1">
      <c r="A6" s="258"/>
      <c r="B6" s="1015"/>
      <c r="C6" s="1016"/>
      <c r="D6" s="1017"/>
      <c r="E6" s="1012"/>
      <c r="F6" s="281"/>
      <c r="G6" s="1010"/>
      <c r="H6" s="1010"/>
      <c r="I6" s="1012"/>
      <c r="J6" s="1018"/>
      <c r="K6" s="278" t="s">
        <v>2882</v>
      </c>
    </row>
    <row r="7" ht="7.5" customHeight="1" s="32" customFormat="1">
      <c r="A7" s="258"/>
      <c r="B7" s="1015"/>
      <c r="C7" s="1016"/>
      <c r="D7" s="1017"/>
      <c r="E7" s="1012"/>
      <c r="F7" s="281"/>
      <c r="G7" s="1010"/>
      <c r="H7" s="1010"/>
      <c r="I7" s="1012"/>
      <c r="J7" s="1018"/>
      <c r="K7" s="278"/>
    </row>
    <row r="8" ht="23" customHeight="1" s="32" customFormat="1">
      <c r="A8" s="258"/>
      <c r="B8" s="1015"/>
      <c r="C8" s="1016" t="s">
        <v>2777</v>
      </c>
      <c r="D8" s="1017" t="s">
        <v>2777</v>
      </c>
      <c r="E8" s="1012"/>
      <c r="F8" s="281" t="s">
        <v>2776</v>
      </c>
      <c r="G8" s="1010" t="s">
        <v>2883</v>
      </c>
      <c r="H8" s="1010" t="s">
        <v>2778</v>
      </c>
      <c r="I8" s="1012"/>
      <c r="J8" s="1018" t="s">
        <v>2884</v>
      </c>
      <c r="K8" s="278"/>
    </row>
    <row r="9" ht="23" customHeight="1" s="32" customFormat="1">
      <c r="A9" s="258"/>
      <c r="B9" s="1015" t="s">
        <v>2163</v>
      </c>
      <c r="C9" s="1016"/>
      <c r="D9" s="1017"/>
      <c r="E9" s="1012" t="s">
        <v>2163</v>
      </c>
      <c r="F9" s="281"/>
      <c r="G9" s="1010"/>
      <c r="H9" s="1010"/>
      <c r="I9" s="1012" t="s">
        <v>2163</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EC-AC245" error="台数制御の有無に不正な値が入力されています。選択項目から選択してください。" type="list" errorStyle="warning">
      <formula1>data!$M$2:$M$3</formula1>
    </dataValidation>
    <dataValidation sqref="E11:E1010" showErrorMessage="1" showInputMessage="1" allowBlank="1" errorTitle="EC-AC258" error="運転順位に不正な値が入力されています。選択項目から選択してください。" type="list" errorStyle="warning">
      <formula1>data!$P$2:$P$11</formula1>
    </dataValidation>
    <dataValidation sqref="I11:I1010" showErrorMessage="1" showInputMessage="1" allowBlank="1" errorTitle="EC-AC274"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2885</v>
      </c>
      <c r="H3" s="918"/>
      <c r="I3" s="918"/>
      <c r="J3" s="919"/>
      <c r="K3" s="1022" t="s">
        <v>2137</v>
      </c>
      <c r="L3" s="1002" t="s">
        <v>2140</v>
      </c>
      <c r="M3" s="1023" t="s">
        <v>2143</v>
      </c>
      <c r="N3" s="1024" t="s">
        <v>2752</v>
      </c>
      <c r="O3" s="1025" t="s">
        <v>2886</v>
      </c>
      <c r="P3" s="918"/>
      <c r="Q3" s="918"/>
      <c r="R3" s="918"/>
      <c r="S3" s="918"/>
      <c r="T3" s="918"/>
      <c r="U3" s="919"/>
      <c r="V3" s="922" t="s">
        <v>2874</v>
      </c>
      <c r="W3" s="919"/>
      <c r="X3" s="922" t="s">
        <v>2756</v>
      </c>
      <c r="Y3" s="919"/>
      <c r="Z3" s="272" t="s">
        <v>2887</v>
      </c>
    </row>
    <row r="4" ht="19.5" customHeight="1" s="19" customFormat="1">
      <c r="A4" s="306"/>
      <c r="B4" s="279"/>
      <c r="C4" s="281"/>
      <c r="D4" s="1026"/>
      <c r="E4" s="1026"/>
      <c r="F4" s="453"/>
      <c r="G4" s="1022" t="s">
        <v>2122</v>
      </c>
      <c r="H4" s="1013" t="s">
        <v>2128</v>
      </c>
      <c r="I4" s="1013" t="s">
        <v>2131</v>
      </c>
      <c r="J4" s="1027" t="s">
        <v>2134</v>
      </c>
      <c r="K4" s="1028"/>
      <c r="L4" s="1029"/>
      <c r="M4" s="1030"/>
      <c r="N4" s="1031"/>
      <c r="O4" s="1032" t="s">
        <v>2753</v>
      </c>
      <c r="P4" s="1033" t="s">
        <v>2754</v>
      </c>
      <c r="Q4" s="1034" t="s">
        <v>2748</v>
      </c>
      <c r="R4" s="1035" t="s">
        <v>2888</v>
      </c>
      <c r="S4" s="1035" t="s">
        <v>2889</v>
      </c>
      <c r="T4" s="1036" t="s">
        <v>2890</v>
      </c>
      <c r="U4" s="1033" t="s">
        <v>2891</v>
      </c>
      <c r="V4" s="255" t="s">
        <v>2892</v>
      </c>
      <c r="W4" s="250" t="s">
        <v>2893</v>
      </c>
      <c r="X4" s="255" t="s">
        <v>2894</v>
      </c>
      <c r="Y4" s="250" t="s">
        <v>2895</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2216</v>
      </c>
      <c r="B6" s="279" t="s">
        <v>2763</v>
      </c>
      <c r="C6" s="281" t="s">
        <v>2896</v>
      </c>
      <c r="D6" s="603" t="s">
        <v>2897</v>
      </c>
      <c r="E6" s="603" t="s">
        <v>2898</v>
      </c>
      <c r="F6" s="275" t="s">
        <v>2899</v>
      </c>
      <c r="G6" s="279" t="s">
        <v>2900</v>
      </c>
      <c r="H6" s="281" t="s">
        <v>2901</v>
      </c>
      <c r="I6" s="281" t="s">
        <v>2902</v>
      </c>
      <c r="J6" s="252" t="s">
        <v>2903</v>
      </c>
      <c r="K6" s="284" t="s">
        <v>2904</v>
      </c>
      <c r="L6" s="604" t="s">
        <v>2905</v>
      </c>
      <c r="M6" s="603" t="s">
        <v>2906</v>
      </c>
      <c r="N6" s="275" t="s">
        <v>2907</v>
      </c>
      <c r="O6" s="864" t="s">
        <v>2908</v>
      </c>
      <c r="P6" s="604" t="s">
        <v>2909</v>
      </c>
      <c r="Q6" s="605" t="s">
        <v>2910</v>
      </c>
      <c r="R6" s="865" t="s">
        <v>2911</v>
      </c>
      <c r="S6" s="865" t="s">
        <v>2912</v>
      </c>
      <c r="T6" s="603" t="s">
        <v>2913</v>
      </c>
      <c r="U6" s="606" t="s">
        <v>2914</v>
      </c>
      <c r="V6" s="279" t="s">
        <v>2915</v>
      </c>
      <c r="W6" s="252" t="s">
        <v>2916</v>
      </c>
      <c r="X6" s="279" t="s">
        <v>2915</v>
      </c>
      <c r="Y6" s="252" t="s">
        <v>2916</v>
      </c>
      <c r="Z6" s="278" t="s">
        <v>2158</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2773</v>
      </c>
    </row>
    <row r="8" ht="20.75" customHeight="1" s="19" customFormat="1">
      <c r="A8" s="309"/>
      <c r="B8" s="279" t="s">
        <v>2776</v>
      </c>
      <c r="C8" s="281"/>
      <c r="D8" s="1010" t="s">
        <v>2778</v>
      </c>
      <c r="E8" s="1010" t="s">
        <v>2778</v>
      </c>
      <c r="F8" s="457" t="s">
        <v>2883</v>
      </c>
      <c r="G8" s="1012" t="s">
        <v>2778</v>
      </c>
      <c r="H8" s="1010" t="s">
        <v>2778</v>
      </c>
      <c r="I8" s="1010" t="s">
        <v>2778</v>
      </c>
      <c r="J8" s="1018" t="s">
        <v>2778</v>
      </c>
      <c r="K8" s="310"/>
      <c r="L8" s="458" t="s">
        <v>2917</v>
      </c>
      <c r="M8" s="311"/>
      <c r="N8" s="312"/>
      <c r="O8" s="1037"/>
      <c r="P8" s="1038"/>
      <c r="Q8" s="1016" t="s">
        <v>2883</v>
      </c>
      <c r="R8" s="1016" t="s">
        <v>2884</v>
      </c>
      <c r="S8" s="1016" t="s">
        <v>2884</v>
      </c>
      <c r="T8" s="454"/>
      <c r="U8" s="1043" t="s">
        <v>2778</v>
      </c>
      <c r="V8" s="279"/>
      <c r="W8" s="252"/>
      <c r="X8" s="313"/>
      <c r="Y8" s="252"/>
      <c r="Z8" s="306" t="s">
        <v>2779</v>
      </c>
    </row>
    <row r="9" ht="20.75" customHeight="1" s="19" customFormat="1">
      <c r="A9" s="309"/>
      <c r="B9" s="279"/>
      <c r="C9" s="459" t="s">
        <v>2163</v>
      </c>
      <c r="D9" s="1010"/>
      <c r="E9" s="1010"/>
      <c r="F9" s="457"/>
      <c r="G9" s="1012"/>
      <c r="H9" s="1010"/>
      <c r="I9" s="1010"/>
      <c r="J9" s="1018"/>
      <c r="K9" s="460" t="s">
        <v>2163</v>
      </c>
      <c r="L9" s="458"/>
      <c r="M9" s="458" t="s">
        <v>2163</v>
      </c>
      <c r="N9" s="461" t="s">
        <v>2163</v>
      </c>
      <c r="O9" s="460" t="s">
        <v>2163</v>
      </c>
      <c r="P9" s="861" t="s">
        <v>2223</v>
      </c>
      <c r="Q9" s="1010"/>
      <c r="R9" s="1017"/>
      <c r="S9" s="1017"/>
      <c r="T9" s="458" t="s">
        <v>2163</v>
      </c>
      <c r="U9" s="1044"/>
      <c r="V9" s="462" t="s">
        <v>2223</v>
      </c>
      <c r="W9" s="259" t="s">
        <v>2223</v>
      </c>
      <c r="X9" s="463" t="s">
        <v>2223</v>
      </c>
      <c r="Y9" s="259" t="s">
        <v>2223</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2228</v>
      </c>
      <c r="B11" s="109" t="s">
        <v>2382</v>
      </c>
      <c r="C11" s="101" t="s">
        <v>2918</v>
      </c>
      <c r="D11" s="101" t="s">
        <v>2919</v>
      </c>
      <c r="E11" s="101" t="s">
        <v>2920</v>
      </c>
      <c r="F11" s="402" t="s">
        <v>2173</v>
      </c>
      <c r="G11" s="400" t="s">
        <v>2921</v>
      </c>
      <c r="H11" s="101" t="s">
        <v>2173</v>
      </c>
      <c r="I11" s="101" t="s">
        <v>2173</v>
      </c>
      <c r="J11" s="402" t="s">
        <v>2173</v>
      </c>
      <c r="K11" s="109" t="s">
        <v>2922</v>
      </c>
      <c r="L11" s="101" t="s">
        <v>2173</v>
      </c>
      <c r="M11" s="101" t="s">
        <v>2729</v>
      </c>
      <c r="N11" s="145" t="s">
        <v>2729</v>
      </c>
      <c r="O11" s="109" t="s">
        <v>2923</v>
      </c>
      <c r="P11" s="110" t="s">
        <v>2173</v>
      </c>
      <c r="Q11" s="101" t="s">
        <v>2173</v>
      </c>
      <c r="R11" s="101" t="s">
        <v>2173</v>
      </c>
      <c r="S11" s="101" t="s">
        <v>2173</v>
      </c>
      <c r="T11" s="101" t="s">
        <v>2729</v>
      </c>
      <c r="U11" s="110" t="s">
        <v>2173</v>
      </c>
      <c r="V11" s="109" t="s">
        <v>2173</v>
      </c>
      <c r="W11" s="100" t="s">
        <v>2173</v>
      </c>
      <c r="X11" s="110" t="s">
        <v>2783</v>
      </c>
      <c r="Y11" s="100" t="s">
        <v>2783</v>
      </c>
      <c r="Z11" s="107" t="s">
        <v>2924</v>
      </c>
    </row>
    <row r="12" ht="32.25" customHeight="1" s="36" customFormat="1">
      <c r="A12" s="108"/>
      <c r="B12" s="114" t="s">
        <v>2349</v>
      </c>
      <c r="C12" s="113" t="s">
        <v>2925</v>
      </c>
      <c r="D12" s="113" t="s">
        <v>2173</v>
      </c>
      <c r="E12" s="113" t="s">
        <v>2173</v>
      </c>
      <c r="F12" s="115" t="s">
        <v>2173</v>
      </c>
      <c r="G12" s="114" t="s">
        <v>2173</v>
      </c>
      <c r="H12" s="113" t="s">
        <v>2173</v>
      </c>
      <c r="I12" s="113" t="s">
        <v>2926</v>
      </c>
      <c r="J12" s="115" t="s">
        <v>2926</v>
      </c>
      <c r="K12" s="112" t="s">
        <v>2922</v>
      </c>
      <c r="L12" s="113" t="s">
        <v>2173</v>
      </c>
      <c r="M12" s="111" t="s">
        <v>2729</v>
      </c>
      <c r="N12" s="563" t="s">
        <v>2729</v>
      </c>
      <c r="O12" s="114" t="s">
        <v>2927</v>
      </c>
      <c r="P12" s="863" t="s">
        <v>2173</v>
      </c>
      <c r="Q12" s="111" t="s">
        <v>2928</v>
      </c>
      <c r="R12" s="111" t="s">
        <v>2929</v>
      </c>
      <c r="S12" s="111" t="s">
        <v>2929</v>
      </c>
      <c r="T12" s="111" t="s">
        <v>2729</v>
      </c>
      <c r="U12" s="116" t="s">
        <v>2173</v>
      </c>
      <c r="V12" s="114"/>
      <c r="W12" s="115"/>
      <c r="X12" s="116"/>
      <c r="Y12" s="115"/>
      <c r="Z12" s="108" t="s">
        <v>2930</v>
      </c>
    </row>
    <row r="13" ht="32.25" customHeight="1" s="36" customFormat="1">
      <c r="A13" s="108" t="s">
        <v>2224</v>
      </c>
      <c r="B13" s="114" t="s">
        <v>2343</v>
      </c>
      <c r="C13" s="113" t="s">
        <v>2918</v>
      </c>
      <c r="D13" s="113" t="s">
        <v>2931</v>
      </c>
      <c r="E13" s="113" t="s">
        <v>2932</v>
      </c>
      <c r="F13" s="115" t="s">
        <v>2173</v>
      </c>
      <c r="G13" s="114" t="s">
        <v>2933</v>
      </c>
      <c r="H13" s="113" t="s">
        <v>2173</v>
      </c>
      <c r="I13" s="113" t="s">
        <v>2173</v>
      </c>
      <c r="J13" s="115" t="s">
        <v>2173</v>
      </c>
      <c r="K13" s="112" t="s">
        <v>2922</v>
      </c>
      <c r="L13" s="113" t="s">
        <v>2173</v>
      </c>
      <c r="M13" s="111" t="s">
        <v>2729</v>
      </c>
      <c r="N13" s="563" t="s">
        <v>2729</v>
      </c>
      <c r="O13" s="114" t="s">
        <v>2923</v>
      </c>
      <c r="P13" s="863" t="s">
        <v>2173</v>
      </c>
      <c r="Q13" s="111" t="s">
        <v>2173</v>
      </c>
      <c r="R13" s="111" t="s">
        <v>2173</v>
      </c>
      <c r="S13" s="111" t="s">
        <v>2173</v>
      </c>
      <c r="T13" s="111" t="s">
        <v>2729</v>
      </c>
      <c r="U13" s="116" t="s">
        <v>2173</v>
      </c>
      <c r="V13" s="114" t="s">
        <v>2173</v>
      </c>
      <c r="W13" s="115" t="s">
        <v>2173</v>
      </c>
      <c r="X13" s="116" t="s">
        <v>2783</v>
      </c>
      <c r="Y13" s="115" t="s">
        <v>2783</v>
      </c>
      <c r="Z13" s="108" t="s">
        <v>2934</v>
      </c>
    </row>
    <row r="14" ht="32.25" customHeight="1" s="36" customFormat="1">
      <c r="A14" s="108" t="s">
        <v>2226</v>
      </c>
      <c r="B14" s="114" t="s">
        <v>2125</v>
      </c>
      <c r="C14" s="113" t="s">
        <v>2918</v>
      </c>
      <c r="D14" s="113" t="s">
        <v>2931</v>
      </c>
      <c r="E14" s="113" t="s">
        <v>2932</v>
      </c>
      <c r="F14" s="115" t="s">
        <v>2173</v>
      </c>
      <c r="G14" s="114" t="s">
        <v>2933</v>
      </c>
      <c r="H14" s="113" t="s">
        <v>2173</v>
      </c>
      <c r="I14" s="113" t="s">
        <v>2173</v>
      </c>
      <c r="J14" s="115" t="s">
        <v>2173</v>
      </c>
      <c r="K14" s="112" t="s">
        <v>2922</v>
      </c>
      <c r="L14" s="113" t="s">
        <v>2173</v>
      </c>
      <c r="M14" s="111" t="s">
        <v>2729</v>
      </c>
      <c r="N14" s="563" t="s">
        <v>2729</v>
      </c>
      <c r="O14" s="114" t="s">
        <v>2923</v>
      </c>
      <c r="P14" s="863" t="s">
        <v>2173</v>
      </c>
      <c r="Q14" s="111" t="s">
        <v>2173</v>
      </c>
      <c r="R14" s="111" t="s">
        <v>2173</v>
      </c>
      <c r="S14" s="111" t="s">
        <v>2173</v>
      </c>
      <c r="T14" s="111" t="s">
        <v>2729</v>
      </c>
      <c r="U14" s="116" t="s">
        <v>2173</v>
      </c>
      <c r="V14" s="114" t="s">
        <v>2173</v>
      </c>
      <c r="W14" s="115" t="s">
        <v>2173</v>
      </c>
      <c r="X14" s="116" t="s">
        <v>2783</v>
      </c>
      <c r="Y14" s="115" t="s">
        <v>2783</v>
      </c>
      <c r="Z14" s="108" t="s">
        <v>2934</v>
      </c>
    </row>
    <row r="15" ht="32.25" customHeight="1" s="36" customFormat="1">
      <c r="A15" s="108" t="s">
        <v>2231</v>
      </c>
      <c r="B15" s="114" t="s">
        <v>2382</v>
      </c>
      <c r="C15" s="113" t="s">
        <v>2918</v>
      </c>
      <c r="D15" s="113" t="s">
        <v>2919</v>
      </c>
      <c r="E15" s="113" t="s">
        <v>2920</v>
      </c>
      <c r="F15" s="115" t="s">
        <v>2173</v>
      </c>
      <c r="G15" s="114" t="s">
        <v>2921</v>
      </c>
      <c r="H15" s="113" t="s">
        <v>2173</v>
      </c>
      <c r="I15" s="113" t="s">
        <v>2173</v>
      </c>
      <c r="J15" s="115" t="s">
        <v>2173</v>
      </c>
      <c r="K15" s="112" t="s">
        <v>2922</v>
      </c>
      <c r="L15" s="113" t="s">
        <v>2173</v>
      </c>
      <c r="M15" s="111" t="s">
        <v>2729</v>
      </c>
      <c r="N15" s="563" t="s">
        <v>2729</v>
      </c>
      <c r="O15" s="114" t="s">
        <v>2923</v>
      </c>
      <c r="P15" s="863" t="s">
        <v>2173</v>
      </c>
      <c r="Q15" s="111" t="s">
        <v>2173</v>
      </c>
      <c r="R15" s="111" t="s">
        <v>2173</v>
      </c>
      <c r="S15" s="111" t="s">
        <v>2173</v>
      </c>
      <c r="T15" s="111" t="s">
        <v>2729</v>
      </c>
      <c r="U15" s="116" t="s">
        <v>2173</v>
      </c>
      <c r="V15" s="114" t="s">
        <v>2173</v>
      </c>
      <c r="W15" s="115" t="s">
        <v>2173</v>
      </c>
      <c r="X15" s="116" t="s">
        <v>2791</v>
      </c>
      <c r="Y15" s="115" t="s">
        <v>2791</v>
      </c>
      <c r="Z15" s="108" t="s">
        <v>2935</v>
      </c>
    </row>
    <row r="16" ht="32.25" customHeight="1" s="36" customFormat="1">
      <c r="A16" s="108"/>
      <c r="B16" s="114" t="s">
        <v>2349</v>
      </c>
      <c r="C16" s="113" t="s">
        <v>2925</v>
      </c>
      <c r="D16" s="113" t="s">
        <v>2173</v>
      </c>
      <c r="E16" s="113" t="s">
        <v>2173</v>
      </c>
      <c r="F16" s="115" t="s">
        <v>2173</v>
      </c>
      <c r="G16" s="114" t="s">
        <v>2173</v>
      </c>
      <c r="H16" s="113" t="s">
        <v>2173</v>
      </c>
      <c r="I16" s="113" t="s">
        <v>2926</v>
      </c>
      <c r="J16" s="115" t="s">
        <v>2926</v>
      </c>
      <c r="K16" s="112" t="s">
        <v>2922</v>
      </c>
      <c r="L16" s="113" t="s">
        <v>2173</v>
      </c>
      <c r="M16" s="111" t="s">
        <v>2729</v>
      </c>
      <c r="N16" s="563" t="s">
        <v>2729</v>
      </c>
      <c r="O16" s="114" t="s">
        <v>2927</v>
      </c>
      <c r="P16" s="863" t="s">
        <v>2173</v>
      </c>
      <c r="Q16" s="111" t="s">
        <v>2928</v>
      </c>
      <c r="R16" s="111" t="s">
        <v>2929</v>
      </c>
      <c r="S16" s="111" t="s">
        <v>2929</v>
      </c>
      <c r="T16" s="111" t="s">
        <v>2729</v>
      </c>
      <c r="U16" s="116" t="s">
        <v>2173</v>
      </c>
      <c r="V16" s="114"/>
      <c r="W16" s="115"/>
      <c r="X16" s="116"/>
      <c r="Y16" s="115"/>
      <c r="Z16" s="108" t="s">
        <v>2936</v>
      </c>
    </row>
    <row r="17" ht="32.25" customHeight="1" s="36" customFormat="1">
      <c r="A17" s="108" t="s">
        <v>2230</v>
      </c>
      <c r="B17" s="114" t="s">
        <v>2343</v>
      </c>
      <c r="C17" s="113" t="s">
        <v>2918</v>
      </c>
      <c r="D17" s="113" t="s">
        <v>2177</v>
      </c>
      <c r="E17" s="113" t="s">
        <v>2937</v>
      </c>
      <c r="F17" s="115" t="s">
        <v>2173</v>
      </c>
      <c r="G17" s="114" t="s">
        <v>2938</v>
      </c>
      <c r="H17" s="113" t="s">
        <v>2173</v>
      </c>
      <c r="I17" s="113" t="s">
        <v>2173</v>
      </c>
      <c r="J17" s="115" t="s">
        <v>2173</v>
      </c>
      <c r="K17" s="112" t="s">
        <v>2922</v>
      </c>
      <c r="L17" s="113" t="s">
        <v>2173</v>
      </c>
      <c r="M17" s="111" t="s">
        <v>2729</v>
      </c>
      <c r="N17" s="563" t="s">
        <v>2729</v>
      </c>
      <c r="O17" s="114" t="s">
        <v>2923</v>
      </c>
      <c r="P17" s="863" t="s">
        <v>2173</v>
      </c>
      <c r="Q17" s="111" t="s">
        <v>2173</v>
      </c>
      <c r="R17" s="111" t="s">
        <v>2173</v>
      </c>
      <c r="S17" s="111" t="s">
        <v>2173</v>
      </c>
      <c r="T17" s="111" t="s">
        <v>2729</v>
      </c>
      <c r="U17" s="116" t="s">
        <v>2173</v>
      </c>
      <c r="V17" s="114" t="s">
        <v>2173</v>
      </c>
      <c r="W17" s="115" t="s">
        <v>2173</v>
      </c>
      <c r="X17" s="116" t="s">
        <v>2791</v>
      </c>
      <c r="Y17" s="115" t="s">
        <v>2791</v>
      </c>
      <c r="Z17" s="108" t="s">
        <v>2939</v>
      </c>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EC-AC290" error="空調機タイプに不正な値が入力されています。選択項目から選択してください。" type="list" errorStyle="warning">
      <formula1>data!$R$2:$R$8</formula1>
    </dataValidation>
    <dataValidation sqref="K11:K1010" showErrorMessage="1" showInputMessage="1" allowBlank="1" errorTitle="EC-AC319" error="風量制御方式に不正な値が入力されています。選択項目から選択してください。" type="list" errorStyle="warning">
      <formula1>data!$S$2:$S$3</formula1>
    </dataValidation>
    <dataValidation sqref="M11:M1010" showErrorMessage="1" showInputMessage="1" allowBlank="1" errorTitle="EC-AC326"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EC-AC327" error="外気冷房制御の有無に不正な値が入力されています。選択項目から選択してください。" type="list" errorStyle="warning">
      <formula1>data!$M$2:$M$3</formula1>
    </dataValidation>
    <dataValidation sqref="O11:O1010" showErrorMessage="1" showInputMessage="1" allowBlank="1" errorTitle="EC-AC"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EC-AC340"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2940</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2941</v>
      </c>
      <c r="G4" s="943" t="s">
        <v>2942</v>
      </c>
      <c r="H4" s="955" t="s">
        <v>2128</v>
      </c>
      <c r="I4" s="943" t="s">
        <v>2131</v>
      </c>
      <c r="J4" s="955" t="s">
        <v>2134</v>
      </c>
      <c r="K4" s="943" t="s">
        <v>2137</v>
      </c>
      <c r="L4" s="955" t="s">
        <v>2140</v>
      </c>
      <c r="M4" s="789" t="s">
        <v>2143</v>
      </c>
    </row>
    <row r="5" ht="8.9" customHeight="1">
      <c r="A5" s="790"/>
      <c r="B5" s="791"/>
      <c r="C5" s="930"/>
      <c r="D5" s="930"/>
      <c r="E5" s="930"/>
      <c r="F5" s="930"/>
      <c r="G5" s="930"/>
      <c r="H5" s="930"/>
      <c r="I5" s="930"/>
      <c r="J5" s="930"/>
      <c r="K5" s="930"/>
      <c r="L5" s="930"/>
      <c r="M5" s="318"/>
    </row>
    <row r="6" ht="31.5" customHeight="1">
      <c r="A6" s="792" t="s">
        <v>2756</v>
      </c>
      <c r="B6" s="193" t="s">
        <v>2943</v>
      </c>
      <c r="C6" s="548" t="s">
        <v>2943</v>
      </c>
      <c r="D6" s="548" t="s">
        <v>2943</v>
      </c>
      <c r="E6" s="548" t="s">
        <v>2943</v>
      </c>
      <c r="F6" s="548" t="s">
        <v>2943</v>
      </c>
      <c r="G6" s="548" t="s">
        <v>2943</v>
      </c>
      <c r="H6" s="548" t="s">
        <v>2943</v>
      </c>
      <c r="I6" s="548" t="s">
        <v>2943</v>
      </c>
      <c r="J6" s="548" t="s">
        <v>2943</v>
      </c>
      <c r="K6" s="548" t="s">
        <v>2943</v>
      </c>
      <c r="L6" s="548" t="s">
        <v>2943</v>
      </c>
      <c r="M6" s="201" t="s">
        <v>2943</v>
      </c>
    </row>
    <row r="7" ht="8.9" customHeight="1">
      <c r="A7" s="793"/>
      <c r="B7" s="737"/>
      <c r="C7" s="931"/>
      <c r="D7" s="931"/>
      <c r="E7" s="931"/>
      <c r="F7" s="931"/>
      <c r="G7" s="931"/>
      <c r="H7" s="931"/>
      <c r="I7" s="931"/>
      <c r="J7" s="931"/>
      <c r="K7" s="931"/>
      <c r="L7" s="931"/>
      <c r="M7" s="323"/>
    </row>
    <row r="8" ht="19" customHeight="1">
      <c r="A8" s="793"/>
      <c r="B8" s="794" t="s">
        <v>2944</v>
      </c>
      <c r="C8" s="322" t="s">
        <v>2945</v>
      </c>
      <c r="D8" s="322" t="s">
        <v>2946</v>
      </c>
      <c r="E8" s="322" t="s">
        <v>2947</v>
      </c>
      <c r="F8" s="322" t="s">
        <v>2948</v>
      </c>
      <c r="G8" s="322" t="s">
        <v>2949</v>
      </c>
      <c r="H8" s="322" t="s">
        <v>2950</v>
      </c>
      <c r="I8" s="322" t="s">
        <v>2951</v>
      </c>
      <c r="J8" s="322" t="s">
        <v>2952</v>
      </c>
      <c r="K8" s="322" t="s">
        <v>2953</v>
      </c>
      <c r="L8" s="322" t="s">
        <v>2954</v>
      </c>
      <c r="M8" s="795" t="s">
        <v>2955</v>
      </c>
    </row>
    <row r="9" ht="19" customHeight="1">
      <c r="A9" s="793"/>
      <c r="B9" s="737" t="s">
        <v>2777</v>
      </c>
      <c r="C9" s="931" t="s">
        <v>2777</v>
      </c>
      <c r="D9" s="931" t="s">
        <v>2777</v>
      </c>
      <c r="E9" s="931" t="s">
        <v>2777</v>
      </c>
      <c r="F9" s="931" t="s">
        <v>2777</v>
      </c>
      <c r="G9" s="931" t="s">
        <v>2777</v>
      </c>
      <c r="H9" s="931" t="s">
        <v>2777</v>
      </c>
      <c r="I9" s="931" t="s">
        <v>2777</v>
      </c>
      <c r="J9" s="931" t="s">
        <v>2777</v>
      </c>
      <c r="K9" s="931" t="s">
        <v>2777</v>
      </c>
      <c r="L9" s="931" t="s">
        <v>2777</v>
      </c>
      <c r="M9" s="323" t="s">
        <v>2777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2956</v>
      </c>
      <c r="G3" s="918"/>
      <c r="H3" s="918"/>
      <c r="I3" s="918"/>
      <c r="J3" s="918"/>
      <c r="K3" s="918"/>
      <c r="L3" s="918"/>
      <c r="M3" s="918"/>
      <c r="N3" s="918"/>
      <c r="O3" s="918"/>
      <c r="P3" s="918"/>
      <c r="Q3" s="918"/>
      <c r="R3" s="918"/>
      <c r="S3" s="918"/>
      <c r="T3" s="919"/>
    </row>
    <row r="4" ht="18" customHeight="1">
      <c r="A4" s="792"/>
      <c r="B4" s="193"/>
      <c r="C4" s="944"/>
      <c r="D4" s="548"/>
      <c r="E4" s="944"/>
      <c r="F4" s="924" t="s">
        <v>2957</v>
      </c>
      <c r="G4" s="918"/>
      <c r="H4" s="918"/>
      <c r="I4" s="918"/>
      <c r="J4" s="925"/>
      <c r="K4" s="926" t="s">
        <v>2958</v>
      </c>
      <c r="L4" s="918"/>
      <c r="M4" s="918"/>
      <c r="N4" s="918"/>
      <c r="O4" s="925"/>
      <c r="P4" s="927" t="s">
        <v>2959</v>
      </c>
      <c r="Q4" s="918"/>
      <c r="R4" s="918"/>
      <c r="S4" s="918"/>
      <c r="T4" s="919"/>
    </row>
    <row r="5" ht="21" customHeight="1">
      <c r="A5" s="868"/>
      <c r="B5" s="737"/>
      <c r="C5" s="931"/>
      <c r="D5" s="931"/>
      <c r="E5" s="931"/>
      <c r="F5" s="870" t="s">
        <v>2119</v>
      </c>
      <c r="G5" s="931" t="s">
        <v>2122</v>
      </c>
      <c r="H5" s="931" t="s">
        <v>2128</v>
      </c>
      <c r="I5" s="931" t="s">
        <v>2131</v>
      </c>
      <c r="J5" s="931" t="s">
        <v>2134</v>
      </c>
      <c r="K5" s="931" t="s">
        <v>2137</v>
      </c>
      <c r="L5" s="931" t="s">
        <v>2140</v>
      </c>
      <c r="M5" s="765" t="s">
        <v>2143</v>
      </c>
      <c r="N5" s="765" t="s">
        <v>2752</v>
      </c>
      <c r="O5" s="765" t="s">
        <v>2753</v>
      </c>
      <c r="P5" s="765" t="s">
        <v>2754</v>
      </c>
      <c r="Q5" s="765" t="s">
        <v>2748</v>
      </c>
      <c r="R5" s="765" t="s">
        <v>2888</v>
      </c>
      <c r="S5" s="765" t="s">
        <v>2889</v>
      </c>
      <c r="T5" s="323" t="s">
        <v>2890</v>
      </c>
    </row>
    <row r="6" ht="93" customHeight="1">
      <c r="A6" s="792" t="s">
        <v>2960</v>
      </c>
      <c r="B6" s="193" t="s">
        <v>2961</v>
      </c>
      <c r="C6" s="869" t="s">
        <v>2962</v>
      </c>
      <c r="D6" s="869" t="s">
        <v>2963</v>
      </c>
      <c r="E6" s="548" t="s">
        <v>2763</v>
      </c>
      <c r="F6" s="871" t="s">
        <v>2911</v>
      </c>
      <c r="G6" s="869" t="s">
        <v>2912</v>
      </c>
      <c r="H6" s="869" t="s">
        <v>2964</v>
      </c>
      <c r="I6" s="869" t="s">
        <v>2965</v>
      </c>
      <c r="J6" s="869" t="s">
        <v>2966</v>
      </c>
      <c r="K6" s="869" t="s">
        <v>2911</v>
      </c>
      <c r="L6" s="869" t="s">
        <v>2912</v>
      </c>
      <c r="M6" s="869" t="s">
        <v>2964</v>
      </c>
      <c r="N6" s="869" t="s">
        <v>2965</v>
      </c>
      <c r="O6" s="869" t="s">
        <v>2967</v>
      </c>
      <c r="P6" s="869" t="s">
        <v>2911</v>
      </c>
      <c r="Q6" s="869" t="s">
        <v>2912</v>
      </c>
      <c r="R6" s="869" t="s">
        <v>2964</v>
      </c>
      <c r="S6" s="869" t="s">
        <v>2965</v>
      </c>
      <c r="T6" s="876" t="s">
        <v>2968</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2883</v>
      </c>
      <c r="D8" s="322" t="s">
        <v>2883</v>
      </c>
      <c r="E8" s="322" t="s">
        <v>2776</v>
      </c>
      <c r="F8" s="872" t="s">
        <v>2884</v>
      </c>
      <c r="G8" s="322" t="s">
        <v>2884</v>
      </c>
      <c r="H8" s="872" t="s">
        <v>2883</v>
      </c>
      <c r="I8" s="872" t="s">
        <v>2883</v>
      </c>
      <c r="J8" s="322" t="s">
        <v>2884</v>
      </c>
      <c r="K8" s="872" t="s">
        <v>2884</v>
      </c>
      <c r="L8" s="322" t="s">
        <v>2884</v>
      </c>
      <c r="M8" s="872" t="s">
        <v>2883</v>
      </c>
      <c r="N8" s="872" t="s">
        <v>2883</v>
      </c>
      <c r="O8" s="322" t="s">
        <v>2884</v>
      </c>
      <c r="P8" s="872" t="s">
        <v>2884</v>
      </c>
      <c r="Q8" s="322" t="s">
        <v>2884</v>
      </c>
      <c r="R8" s="872" t="s">
        <v>2883</v>
      </c>
      <c r="S8" s="872" t="s">
        <v>2883</v>
      </c>
      <c r="T8" s="795" t="s">
        <v>2884</v>
      </c>
    </row>
    <row r="9" ht="19" customHeight="1">
      <c r="A9" s="793"/>
      <c r="B9" s="737" t="s">
        <v>2163</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EC-AC"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2146</v>
      </c>
      <c r="B6" s="931" t="s">
        <v>2147</v>
      </c>
      <c r="C6" s="931" t="s">
        <v>2149</v>
      </c>
      <c r="D6" s="913"/>
      <c r="E6" s="1045" t="s">
        <v>2150</v>
      </c>
      <c r="F6" s="1046" t="s">
        <v>2969</v>
      </c>
      <c r="G6" s="321" t="s">
        <v>2970</v>
      </c>
      <c r="H6" s="771" t="s">
        <v>2158</v>
      </c>
    </row>
    <row r="7" ht="8.75" customHeight="1">
      <c r="A7" s="320"/>
      <c r="B7" s="931"/>
      <c r="C7" s="931"/>
      <c r="D7" s="913"/>
      <c r="E7" s="1045"/>
      <c r="F7" s="1046"/>
      <c r="G7" s="321"/>
      <c r="H7" s="321"/>
    </row>
    <row r="8" ht="19.25" customHeight="1">
      <c r="A8" s="320"/>
      <c r="B8" s="322"/>
      <c r="C8" s="814" t="s">
        <v>2159</v>
      </c>
      <c r="D8" s="814" t="s">
        <v>2160</v>
      </c>
      <c r="E8" s="1046" t="s">
        <v>2161</v>
      </c>
      <c r="F8" s="1046" t="s">
        <v>2971</v>
      </c>
      <c r="G8" s="321"/>
      <c r="H8" s="321"/>
    </row>
    <row r="9" ht="19.25" customHeight="1">
      <c r="A9" s="320" t="s">
        <v>2223</v>
      </c>
      <c r="B9" s="931" t="s">
        <v>2223</v>
      </c>
      <c r="C9" s="931" t="s">
        <v>2223</v>
      </c>
      <c r="D9" s="931" t="s">
        <v>2223</v>
      </c>
      <c r="E9" s="323" t="s">
        <v>2223</v>
      </c>
      <c r="F9" s="324" t="s">
        <v>2163</v>
      </c>
      <c r="G9" s="323" t="s">
        <v>2223</v>
      </c>
      <c r="H9" s="201"/>
    </row>
    <row r="10" ht="8.75" customHeight="1" s="57" customFormat="1">
      <c r="A10" s="325"/>
      <c r="B10" s="930"/>
      <c r="C10" s="930"/>
      <c r="D10" s="930"/>
      <c r="E10" s="318"/>
      <c r="F10" s="326"/>
      <c r="G10" s="327"/>
      <c r="H10" s="327"/>
    </row>
    <row r="11" ht="21" customHeight="1">
      <c r="A11" s="109" t="s">
        <v>2165</v>
      </c>
      <c r="B11" s="101" t="s">
        <v>2181</v>
      </c>
      <c r="C11" s="101" t="s">
        <v>2167</v>
      </c>
      <c r="D11" s="101" t="s">
        <v>2175</v>
      </c>
      <c r="E11" s="100" t="s">
        <v>2182</v>
      </c>
      <c r="F11" s="100" t="s">
        <v>2903</v>
      </c>
      <c r="G11" s="147" t="s">
        <v>2972</v>
      </c>
      <c r="H11" s="147" t="s">
        <v>2173</v>
      </c>
    </row>
    <row r="12" ht="21" customHeight="1">
      <c r="A12" s="114" t="s">
        <v>2165</v>
      </c>
      <c r="B12" s="131" t="s">
        <v>2174</v>
      </c>
      <c r="C12" s="106" t="s">
        <v>2167</v>
      </c>
      <c r="D12" s="106" t="s">
        <v>2175</v>
      </c>
      <c r="E12" s="115" t="s">
        <v>2176</v>
      </c>
      <c r="F12" s="104" t="s">
        <v>2903</v>
      </c>
      <c r="G12" s="148" t="s">
        <v>2972</v>
      </c>
      <c r="H12" s="148" t="s">
        <v>2173</v>
      </c>
    </row>
    <row r="13" ht="21" customHeight="1">
      <c r="A13" s="114" t="s">
        <v>2165</v>
      </c>
      <c r="B13" s="113" t="s">
        <v>2183</v>
      </c>
      <c r="C13" s="106" t="s">
        <v>2167</v>
      </c>
      <c r="D13" s="106" t="s">
        <v>2184</v>
      </c>
      <c r="E13" s="115" t="s">
        <v>2185</v>
      </c>
      <c r="F13" s="104" t="s">
        <v>2903</v>
      </c>
      <c r="G13" s="148" t="s">
        <v>2973</v>
      </c>
      <c r="H13" s="148" t="s">
        <v>2173</v>
      </c>
    </row>
    <row r="14" ht="21" customHeight="1">
      <c r="A14" s="114" t="s">
        <v>2196</v>
      </c>
      <c r="B14" s="113" t="s">
        <v>2181</v>
      </c>
      <c r="C14" s="106" t="s">
        <v>2167</v>
      </c>
      <c r="D14" s="106" t="s">
        <v>2175</v>
      </c>
      <c r="E14" s="115" t="s">
        <v>2204</v>
      </c>
      <c r="F14" s="104" t="s">
        <v>2903</v>
      </c>
      <c r="G14" s="148" t="s">
        <v>2974</v>
      </c>
      <c r="H14" s="148" t="s">
        <v>2173</v>
      </c>
    </row>
    <row r="15" ht="21" customHeight="1">
      <c r="A15" s="114" t="s">
        <v>2196</v>
      </c>
      <c r="B15" s="113" t="s">
        <v>2174</v>
      </c>
      <c r="C15" s="106" t="s">
        <v>2167</v>
      </c>
      <c r="D15" s="106" t="s">
        <v>2175</v>
      </c>
      <c r="E15" s="115" t="s">
        <v>2206</v>
      </c>
      <c r="F15" s="104" t="s">
        <v>2903</v>
      </c>
      <c r="G15" s="148" t="s">
        <v>2974</v>
      </c>
      <c r="H15" s="148" t="s">
        <v>2173</v>
      </c>
    </row>
    <row r="16" ht="21" customHeight="1">
      <c r="A16" s="114" t="s">
        <v>2196</v>
      </c>
      <c r="B16" s="113" t="s">
        <v>2197</v>
      </c>
      <c r="C16" s="106" t="s">
        <v>2167</v>
      </c>
      <c r="D16" s="106" t="s">
        <v>2198</v>
      </c>
      <c r="E16" s="115" t="s">
        <v>2203</v>
      </c>
      <c r="F16" s="104" t="s">
        <v>2903</v>
      </c>
      <c r="G16" s="148" t="s">
        <v>2975</v>
      </c>
      <c r="H16" s="148" t="s">
        <v>2173</v>
      </c>
    </row>
    <row r="17" ht="21" customHeight="1">
      <c r="A17" s="114" t="s">
        <v>2196</v>
      </c>
      <c r="B17" s="113" t="s">
        <v>2202</v>
      </c>
      <c r="C17" s="106" t="s">
        <v>2167</v>
      </c>
      <c r="D17" s="106" t="s">
        <v>2198</v>
      </c>
      <c r="E17" s="115" t="s">
        <v>2199</v>
      </c>
      <c r="F17" s="104" t="s">
        <v>2903</v>
      </c>
      <c r="G17" s="148" t="s">
        <v>2975</v>
      </c>
      <c r="H17" s="148" t="s">
        <v>2173</v>
      </c>
    </row>
    <row r="18" ht="21" customHeight="1">
      <c r="A18" s="114" t="s">
        <v>2196</v>
      </c>
      <c r="B18" s="131" t="s">
        <v>2183</v>
      </c>
      <c r="C18" s="106" t="s">
        <v>2167</v>
      </c>
      <c r="D18" s="106" t="s">
        <v>2184</v>
      </c>
      <c r="E18" s="115" t="s">
        <v>2207</v>
      </c>
      <c r="F18" s="104" t="s">
        <v>2903</v>
      </c>
      <c r="G18" s="148" t="s">
        <v>2976</v>
      </c>
      <c r="H18" s="148" t="s">
        <v>2173</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VT11" error="室用途（大分類）に不正な値が入力されています。選択項目から選択してください。" type="list" errorStyle="warning">
      <formula1>data!$E$2:$E$11</formula1>
    </dataValidation>
    <dataValidation sqref="D11:D1010" showErrorMessage="1" showInputMessage="1" allowBlank="1" errorTitle="EC-VT12" error="室用途（小分類）に不正な値が入力されています。選択項目から選択してください。" type="list" errorStyle="warning">
      <formula1>INDIRECT(C11)</formula1>
    </dataValidation>
    <dataValidation sqref="F11:F1010" showErrorMessage="1" showInputMessage="1" allowBlank="1" errorTitle="EC-VT23"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2977</v>
      </c>
      <c r="E4" s="918"/>
      <c r="F4" s="925"/>
      <c r="G4" s="772" t="s">
        <v>2122</v>
      </c>
    </row>
    <row r="5" ht="22.5" customHeight="1">
      <c r="A5" s="331"/>
      <c r="B5" s="332"/>
      <c r="C5" s="333"/>
      <c r="D5" s="571" t="s">
        <v>2109</v>
      </c>
      <c r="E5" s="572" t="s">
        <v>2116</v>
      </c>
      <c r="F5" s="575" t="s">
        <v>2119</v>
      </c>
      <c r="G5" s="332"/>
    </row>
    <row r="6" ht="60.5" customHeight="1">
      <c r="A6" s="334" t="s">
        <v>2970</v>
      </c>
      <c r="B6" s="332" t="s">
        <v>2978</v>
      </c>
      <c r="C6" s="333" t="s">
        <v>2979</v>
      </c>
      <c r="D6" s="573" t="s">
        <v>2980</v>
      </c>
      <c r="E6" s="574" t="s">
        <v>2981</v>
      </c>
      <c r="F6" s="576" t="s">
        <v>2982</v>
      </c>
      <c r="G6" s="577" t="s">
        <v>2158</v>
      </c>
    </row>
    <row r="7" ht="8.75" customHeight="1">
      <c r="A7" s="334"/>
      <c r="B7" s="332"/>
      <c r="C7" s="333"/>
      <c r="D7" s="335"/>
      <c r="E7" s="336"/>
      <c r="F7" s="337"/>
      <c r="G7" s="332"/>
    </row>
    <row r="8" ht="21" customHeight="1">
      <c r="A8" s="331"/>
      <c r="B8" s="332" t="s">
        <v>2983</v>
      </c>
      <c r="C8" s="338" t="s">
        <v>2984</v>
      </c>
      <c r="D8" s="335"/>
      <c r="E8" s="336"/>
      <c r="F8" s="337"/>
      <c r="G8" s="332"/>
    </row>
    <row r="9" ht="21" customHeight="1" s="59" customFormat="1">
      <c r="A9" s="334"/>
      <c r="B9" s="339"/>
      <c r="C9" s="340"/>
      <c r="D9" s="341" t="s">
        <v>2985</v>
      </c>
      <c r="E9" s="342" t="s">
        <v>2985</v>
      </c>
      <c r="F9" s="343" t="s">
        <v>2985</v>
      </c>
      <c r="G9" s="339"/>
    </row>
    <row r="10" ht="7.5" customHeight="1" s="60" customFormat="1">
      <c r="A10" s="344"/>
      <c r="B10" s="345"/>
      <c r="C10" s="346"/>
      <c r="D10" s="347"/>
      <c r="E10" s="348"/>
      <c r="F10" s="349"/>
      <c r="G10" s="345"/>
    </row>
    <row r="11" ht="19.5" customHeight="1">
      <c r="A11" s="609" t="s">
        <v>2972</v>
      </c>
      <c r="B11" s="149" t="s">
        <v>2986</v>
      </c>
      <c r="C11" s="150" t="s">
        <v>2987</v>
      </c>
      <c r="D11" s="149" t="s">
        <v>2729</v>
      </c>
      <c r="E11" s="641" t="s">
        <v>2729</v>
      </c>
      <c r="F11" s="642" t="s">
        <v>2729</v>
      </c>
      <c r="G11" s="149" t="s">
        <v>2173</v>
      </c>
    </row>
    <row r="12" ht="19.5" customHeight="1">
      <c r="A12" s="151" t="s">
        <v>2973</v>
      </c>
      <c r="B12" s="152" t="s">
        <v>2988</v>
      </c>
      <c r="C12" s="153" t="s">
        <v>2989</v>
      </c>
      <c r="D12" s="152" t="s">
        <v>2729</v>
      </c>
      <c r="E12" s="154" t="s">
        <v>2729</v>
      </c>
      <c r="F12" s="155" t="s">
        <v>2729</v>
      </c>
      <c r="G12" s="152" t="s">
        <v>2173</v>
      </c>
    </row>
    <row r="13" ht="19.5" customHeight="1">
      <c r="A13" s="151" t="s">
        <v>2974</v>
      </c>
      <c r="B13" s="152" t="s">
        <v>2990</v>
      </c>
      <c r="C13" s="153" t="s">
        <v>2991</v>
      </c>
      <c r="D13" s="152" t="s">
        <v>2729</v>
      </c>
      <c r="E13" s="154" t="s">
        <v>2729</v>
      </c>
      <c r="F13" s="155" t="s">
        <v>2729</v>
      </c>
      <c r="G13" s="152" t="s">
        <v>2173</v>
      </c>
    </row>
    <row r="14" ht="19.5" customHeight="1">
      <c r="A14" s="151" t="s">
        <v>2975</v>
      </c>
      <c r="B14" s="152" t="s">
        <v>2786</v>
      </c>
      <c r="C14" s="153" t="s">
        <v>2992</v>
      </c>
      <c r="D14" s="152" t="s">
        <v>2729</v>
      </c>
      <c r="E14" s="154" t="s">
        <v>2729</v>
      </c>
      <c r="F14" s="155" t="s">
        <v>2729</v>
      </c>
      <c r="G14" s="152" t="s">
        <v>2173</v>
      </c>
    </row>
    <row r="15" ht="19.5" customHeight="1">
      <c r="A15" s="151" t="s">
        <v>2976</v>
      </c>
      <c r="B15" s="152" t="s">
        <v>2988</v>
      </c>
      <c r="C15" s="153" t="s">
        <v>2989</v>
      </c>
      <c r="D15" s="152" t="s">
        <v>2729</v>
      </c>
      <c r="E15" s="154" t="s">
        <v>2729</v>
      </c>
      <c r="F15" s="155" t="s">
        <v>2729</v>
      </c>
      <c r="G15" s="152" t="s">
        <v>2173</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EC-VT39" error="高効率電動機の有無に不正な値が入力されています。選択項目から選択してください。" type="list" errorStyle="warning">
      <formula1>data!$M$2:$M$3</formula1>
    </dataValidation>
    <dataValidation sqref="E11:E1010" showErrorMessage="1" showInputMessage="1" allowBlank="1" errorTitle="EC-VT40" error="インバータの有無に不正な値が入力されています。選択項目から選択してください。" type="list" errorStyle="warning">
      <formula1>data!$M$2:$M$3</formula1>
    </dataValidation>
    <dataValidation sqref="F11:F1010" showErrorMessage="1" showInputMessage="1" allowBlank="1" errorTitle="EC-VT41"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2993</v>
      </c>
      <c r="E4" s="918"/>
      <c r="F4" s="932" t="s">
        <v>2994</v>
      </c>
      <c r="G4" s="918"/>
      <c r="H4" s="925"/>
      <c r="I4" s="934" t="s">
        <v>2977</v>
      </c>
      <c r="J4" s="918"/>
      <c r="K4" s="919"/>
      <c r="L4" s="773" t="s">
        <v>2140</v>
      </c>
    </row>
    <row r="5" ht="14.25" customHeight="1">
      <c r="A5" s="351"/>
      <c r="B5" s="1048"/>
      <c r="C5" s="1048"/>
      <c r="D5" s="1049" t="s">
        <v>2109</v>
      </c>
      <c r="E5" s="417" t="s">
        <v>2116</v>
      </c>
      <c r="F5" s="577" t="s">
        <v>2119</v>
      </c>
      <c r="G5" s="466" t="s">
        <v>2122</v>
      </c>
      <c r="H5" s="467" t="s">
        <v>2128</v>
      </c>
      <c r="I5" s="578" t="s">
        <v>2131</v>
      </c>
      <c r="J5" s="579" t="s">
        <v>2134</v>
      </c>
      <c r="K5" s="582" t="s">
        <v>2995</v>
      </c>
      <c r="L5" s="1048"/>
    </row>
    <row r="6" ht="23.25" customHeight="1" s="410" customFormat="1">
      <c r="A6" s="351" t="s">
        <v>2970</v>
      </c>
      <c r="B6" s="1050" t="s">
        <v>2996</v>
      </c>
      <c r="C6" s="1048" t="s">
        <v>2997</v>
      </c>
      <c r="D6" s="1051" t="s">
        <v>2998</v>
      </c>
      <c r="E6" s="418" t="s">
        <v>2999</v>
      </c>
      <c r="F6" s="470" t="s">
        <v>3000</v>
      </c>
      <c r="G6" s="471" t="s">
        <v>3001</v>
      </c>
      <c r="H6" s="472" t="s">
        <v>3002</v>
      </c>
      <c r="I6" s="473" t="s">
        <v>3003</v>
      </c>
      <c r="J6" s="581" t="s">
        <v>3004</v>
      </c>
      <c r="K6" s="474" t="s">
        <v>3005</v>
      </c>
      <c r="L6" s="1050" t="s">
        <v>2158</v>
      </c>
    </row>
    <row r="7" ht="28.5" customHeight="1">
      <c r="A7" s="351"/>
      <c r="B7" s="1048"/>
      <c r="C7" s="1048"/>
      <c r="D7" s="1052" t="s">
        <v>3006</v>
      </c>
      <c r="E7" s="486" t="s">
        <v>3007</v>
      </c>
      <c r="F7" s="487" t="s">
        <v>3008</v>
      </c>
      <c r="G7" s="488" t="s">
        <v>3009</v>
      </c>
      <c r="H7" s="489" t="s">
        <v>3007</v>
      </c>
      <c r="I7" s="580" t="s">
        <v>3010</v>
      </c>
      <c r="J7" s="490" t="s">
        <v>3010</v>
      </c>
      <c r="K7" s="491" t="s">
        <v>3011</v>
      </c>
      <c r="L7" s="1048"/>
    </row>
    <row r="8" ht="14.25" customHeight="1">
      <c r="A8" s="351"/>
      <c r="B8" s="1053" t="s">
        <v>2163</v>
      </c>
      <c r="C8" s="1053" t="s">
        <v>2984</v>
      </c>
      <c r="D8" s="1054" t="s">
        <v>2368</v>
      </c>
      <c r="E8" s="417" t="s">
        <v>2984</v>
      </c>
      <c r="F8" s="332" t="s">
        <v>2163</v>
      </c>
      <c r="G8" s="466" t="s">
        <v>2983</v>
      </c>
      <c r="H8" s="467" t="s">
        <v>2984</v>
      </c>
      <c r="I8" s="476" t="s">
        <v>2985</v>
      </c>
      <c r="J8" s="342" t="s">
        <v>2985</v>
      </c>
      <c r="K8" s="343" t="s">
        <v>2985</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EC-VT84" error="換気対象室の用途に不正な値が入力されています。選択項目から選択してください。" type="list" errorStyle="warning">
      <formula1>data!$V$2:$V$5</formula1>
    </dataValidation>
    <dataValidation sqref="F11:F1010" showErrorMessage="1" showInputMessage="1" allowBlank="1" errorTitle="EC-VT68" error="送風機の種類に不正な値が入力されています。選択項目から選択してください。" type="list" errorStyle="warning">
      <formula1>data!$T$2:$T$5</formula1>
    </dataValidation>
    <dataValidation sqref="I11:I1010" showErrorMessage="1" showInputMessage="1" allowBlank="1" errorTitle="EC-VT80" error="高効率電動機の有無に不正な値が入力されています。選択項目から選択してください。" type="list" errorStyle="warning">
      <formula1>data!$M$2:$M$3</formula1>
    </dataValidation>
    <dataValidation sqref="J11:J1010" showErrorMessage="1" showInputMessage="1" allowBlank="1" errorTitle="EC-VT81" error="インバータの有無に不正な値が入力されています。選択項目から選択してください。" type="list" errorStyle="warning">
      <formula1>data!$M$2:$M$3</formula1>
    </dataValidation>
    <dataValidation sqref="K11:K1010" showErrorMessage="1" showInputMessage="1" allowBlank="1" errorTitle="EC-VT82"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3012</v>
      </c>
    </row>
    <row r="3" ht="13.5" customHeight="1"/>
    <row r="4" ht="20.5" customHeight="1">
      <c r="A4" s="802" t="s">
        <v>2100</v>
      </c>
      <c r="B4" s="805" t="s">
        <v>2103</v>
      </c>
      <c r="C4" s="806" t="s">
        <v>2106</v>
      </c>
    </row>
    <row r="5">
      <c r="A5" s="804"/>
      <c r="B5" s="803"/>
      <c r="C5" s="804"/>
    </row>
    <row r="6">
      <c r="A6" s="780" t="s">
        <v>2970</v>
      </c>
      <c r="B6" s="809" t="s">
        <v>3013</v>
      </c>
      <c r="C6" s="780" t="s">
        <v>2158</v>
      </c>
    </row>
    <row r="7">
      <c r="A7" s="804"/>
      <c r="B7" s="803"/>
      <c r="C7" s="804"/>
    </row>
    <row r="8">
      <c r="A8" s="804"/>
      <c r="B8" s="803"/>
      <c r="C8" s="804"/>
    </row>
    <row r="9">
      <c r="A9" s="804"/>
      <c r="B9" s="809" t="s">
        <v>2368</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3014</v>
      </c>
      <c r="I4" s="938"/>
      <c r="J4" s="939"/>
      <c r="K4" s="940" t="s">
        <v>3015</v>
      </c>
      <c r="L4" s="918"/>
      <c r="M4" s="919"/>
      <c r="N4" s="940" t="s">
        <v>2977</v>
      </c>
      <c r="O4" s="918"/>
      <c r="P4" s="918"/>
      <c r="Q4" s="919"/>
      <c r="R4" s="1002" t="s">
        <v>2140</v>
      </c>
    </row>
    <row r="5" ht="23" customHeight="1">
      <c r="A5" s="352"/>
      <c r="B5" s="353"/>
      <c r="C5" s="936"/>
      <c r="D5" s="913"/>
      <c r="E5" s="1056"/>
      <c r="F5" s="1057"/>
      <c r="G5" s="1058"/>
      <c r="H5" s="294" t="s">
        <v>2103</v>
      </c>
      <c r="I5" s="295" t="s">
        <v>2106</v>
      </c>
      <c r="J5" s="937" t="s">
        <v>2109</v>
      </c>
      <c r="K5" s="354" t="s">
        <v>2116</v>
      </c>
      <c r="L5" s="406" t="s">
        <v>2119</v>
      </c>
      <c r="M5" s="407" t="s">
        <v>2122</v>
      </c>
      <c r="N5" s="584" t="s">
        <v>2128</v>
      </c>
      <c r="O5" s="492" t="s">
        <v>2131</v>
      </c>
      <c r="P5" s="492" t="s">
        <v>2134</v>
      </c>
      <c r="Q5" s="493" t="s">
        <v>2137</v>
      </c>
      <c r="R5" s="1057"/>
    </row>
    <row r="6" ht="112.5" customHeight="1" s="119" customFormat="1">
      <c r="A6" s="355" t="s">
        <v>2146</v>
      </c>
      <c r="B6" s="936" t="s">
        <v>2147</v>
      </c>
      <c r="C6" s="942" t="s">
        <v>2149</v>
      </c>
      <c r="D6" s="913"/>
      <c r="E6" s="1011" t="s">
        <v>2150</v>
      </c>
      <c r="F6" s="1004" t="s">
        <v>2151</v>
      </c>
      <c r="G6" s="1005" t="s">
        <v>2152</v>
      </c>
      <c r="H6" s="498" t="s">
        <v>3016</v>
      </c>
      <c r="I6" s="499" t="s">
        <v>3017</v>
      </c>
      <c r="J6" s="500" t="s">
        <v>3014</v>
      </c>
      <c r="K6" s="501" t="s">
        <v>3018</v>
      </c>
      <c r="L6" s="502" t="s">
        <v>2879</v>
      </c>
      <c r="M6" s="503" t="s">
        <v>2763</v>
      </c>
      <c r="N6" s="583" t="s">
        <v>3019</v>
      </c>
      <c r="O6" s="505" t="s">
        <v>3020</v>
      </c>
      <c r="P6" s="505" t="s">
        <v>3021</v>
      </c>
      <c r="Q6" s="506" t="s">
        <v>3022</v>
      </c>
      <c r="R6" s="1004" t="s">
        <v>2158</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2159</v>
      </c>
      <c r="D8" s="815" t="s">
        <v>2160</v>
      </c>
      <c r="E8" s="1059" t="s">
        <v>2161</v>
      </c>
      <c r="F8" s="942" t="s">
        <v>2162</v>
      </c>
      <c r="G8" s="222" t="s">
        <v>2162</v>
      </c>
      <c r="H8" s="221" t="s">
        <v>2162</v>
      </c>
      <c r="I8" s="942" t="s">
        <v>2162</v>
      </c>
      <c r="J8" s="507" t="s">
        <v>2368</v>
      </c>
      <c r="K8" s="501" t="s">
        <v>3023</v>
      </c>
      <c r="L8" s="502" t="s">
        <v>3024</v>
      </c>
      <c r="M8" s="503" t="s">
        <v>2776</v>
      </c>
      <c r="N8" s="509"/>
      <c r="O8" s="510"/>
      <c r="P8" s="510"/>
      <c r="Q8" s="511"/>
      <c r="R8" s="942"/>
    </row>
    <row r="9" ht="19.25" customHeight="1">
      <c r="A9" s="320" t="s">
        <v>2223</v>
      </c>
      <c r="B9" s="357" t="s">
        <v>2223</v>
      </c>
      <c r="C9" s="357" t="s">
        <v>2223</v>
      </c>
      <c r="D9" s="944" t="s">
        <v>2223</v>
      </c>
      <c r="E9" s="192" t="s">
        <v>2223</v>
      </c>
      <c r="F9" s="944" t="s">
        <v>2223</v>
      </c>
      <c r="G9" s="512" t="s">
        <v>2223</v>
      </c>
      <c r="H9" s="513"/>
      <c r="I9" s="944"/>
      <c r="J9" s="507"/>
      <c r="K9" s="514"/>
      <c r="L9" s="502"/>
      <c r="M9" s="503"/>
      <c r="N9" s="504" t="s">
        <v>2163</v>
      </c>
      <c r="O9" s="505" t="s">
        <v>2163</v>
      </c>
      <c r="P9" s="505" t="s">
        <v>2163</v>
      </c>
      <c r="Q9" s="506" t="s">
        <v>2163</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2165</v>
      </c>
      <c r="B11" s="652" t="s">
        <v>2166</v>
      </c>
      <c r="C11" s="652" t="s">
        <v>2167</v>
      </c>
      <c r="D11" s="653" t="s">
        <v>2168</v>
      </c>
      <c r="E11" s="654" t="s">
        <v>2169</v>
      </c>
      <c r="F11" s="655" t="s">
        <v>2170</v>
      </c>
      <c r="G11" s="656" t="s">
        <v>2171</v>
      </c>
      <c r="H11" s="657" t="s">
        <v>3025</v>
      </c>
      <c r="I11" s="653" t="s">
        <v>2176</v>
      </c>
      <c r="J11" s="658" t="s">
        <v>2173</v>
      </c>
      <c r="K11" s="659" t="s">
        <v>3026</v>
      </c>
      <c r="L11" s="655" t="s">
        <v>3027</v>
      </c>
      <c r="M11" s="656" t="s">
        <v>2349</v>
      </c>
      <c r="N11" s="660" t="s">
        <v>2729</v>
      </c>
      <c r="O11" s="655" t="s">
        <v>2729</v>
      </c>
      <c r="P11" s="655" t="s">
        <v>2729</v>
      </c>
      <c r="Q11" s="656" t="s">
        <v>2729</v>
      </c>
      <c r="R11" s="655" t="s">
        <v>2173</v>
      </c>
    </row>
    <row r="12" ht="19.5" customHeight="1">
      <c r="A12" s="161" t="s">
        <v>2165</v>
      </c>
      <c r="B12" s="162" t="s">
        <v>2174</v>
      </c>
      <c r="C12" s="162" t="s">
        <v>2167</v>
      </c>
      <c r="D12" s="162" t="s">
        <v>2175</v>
      </c>
      <c r="E12" s="515" t="s">
        <v>2176</v>
      </c>
      <c r="F12" s="166" t="s">
        <v>2170</v>
      </c>
      <c r="G12" s="167" t="s">
        <v>2177</v>
      </c>
      <c r="H12" s="163" t="s">
        <v>3025</v>
      </c>
      <c r="I12" s="162" t="s">
        <v>2125</v>
      </c>
      <c r="J12" s="164" t="s">
        <v>2173</v>
      </c>
      <c r="K12" s="165" t="s">
        <v>3028</v>
      </c>
      <c r="L12" s="166" t="s">
        <v>3029</v>
      </c>
      <c r="M12" s="167" t="s">
        <v>2347</v>
      </c>
      <c r="N12" s="497" t="s">
        <v>2729</v>
      </c>
      <c r="O12" s="166" t="s">
        <v>2729</v>
      </c>
      <c r="P12" s="166" t="s">
        <v>2729</v>
      </c>
      <c r="Q12" s="167" t="s">
        <v>2729</v>
      </c>
      <c r="R12" s="166" t="s">
        <v>2173</v>
      </c>
    </row>
    <row r="13" ht="19.5" customHeight="1">
      <c r="A13" s="161" t="s">
        <v>2173</v>
      </c>
      <c r="B13" s="162" t="s">
        <v>2173</v>
      </c>
      <c r="C13" s="162" t="s">
        <v>2173</v>
      </c>
      <c r="D13" s="162" t="s">
        <v>2173</v>
      </c>
      <c r="E13" s="515" t="s">
        <v>2173</v>
      </c>
      <c r="F13" s="166" t="s">
        <v>2173</v>
      </c>
      <c r="G13" s="167" t="s">
        <v>2173</v>
      </c>
      <c r="H13" s="163" t="s">
        <v>2173</v>
      </c>
      <c r="I13" s="162" t="s">
        <v>2173</v>
      </c>
      <c r="J13" s="164" t="s">
        <v>2173</v>
      </c>
      <c r="K13" s="165" t="s">
        <v>3030</v>
      </c>
      <c r="L13" s="166" t="s">
        <v>2361</v>
      </c>
      <c r="M13" s="167" t="s">
        <v>2343</v>
      </c>
      <c r="N13" s="497" t="s">
        <v>2729</v>
      </c>
      <c r="O13" s="166" t="s">
        <v>2729</v>
      </c>
      <c r="P13" s="166" t="s">
        <v>2729</v>
      </c>
      <c r="Q13" s="167" t="s">
        <v>2729</v>
      </c>
      <c r="R13" s="166" t="s">
        <v>2173</v>
      </c>
    </row>
    <row r="14" ht="19.5" customHeight="1">
      <c r="A14" s="161" t="s">
        <v>2165</v>
      </c>
      <c r="B14" s="162" t="s">
        <v>2181</v>
      </c>
      <c r="C14" s="162" t="s">
        <v>2167</v>
      </c>
      <c r="D14" s="162" t="s">
        <v>2175</v>
      </c>
      <c r="E14" s="515" t="s">
        <v>2182</v>
      </c>
      <c r="F14" s="166" t="s">
        <v>2170</v>
      </c>
      <c r="G14" s="167" t="s">
        <v>2177</v>
      </c>
      <c r="H14" s="163" t="s">
        <v>3031</v>
      </c>
      <c r="I14" s="162" t="s">
        <v>3032</v>
      </c>
      <c r="J14" s="164" t="s">
        <v>2173</v>
      </c>
      <c r="K14" s="165" t="s">
        <v>3028</v>
      </c>
      <c r="L14" s="166" t="s">
        <v>3029</v>
      </c>
      <c r="M14" s="167" t="s">
        <v>2125</v>
      </c>
      <c r="N14" s="497" t="s">
        <v>2729</v>
      </c>
      <c r="O14" s="166" t="s">
        <v>2729</v>
      </c>
      <c r="P14" s="166" t="s">
        <v>2729</v>
      </c>
      <c r="Q14" s="167" t="s">
        <v>2729</v>
      </c>
      <c r="R14" s="166" t="s">
        <v>2173</v>
      </c>
    </row>
    <row r="15" ht="19.5" customHeight="1">
      <c r="A15" s="161" t="s">
        <v>2173</v>
      </c>
      <c r="B15" s="162" t="s">
        <v>2173</v>
      </c>
      <c r="C15" s="162" t="s">
        <v>2173</v>
      </c>
      <c r="D15" s="162" t="s">
        <v>2173</v>
      </c>
      <c r="E15" s="515" t="s">
        <v>2173</v>
      </c>
      <c r="F15" s="166" t="s">
        <v>2173</v>
      </c>
      <c r="G15" s="167" t="s">
        <v>2173</v>
      </c>
      <c r="H15" s="163" t="s">
        <v>2173</v>
      </c>
      <c r="I15" s="162" t="s">
        <v>2173</v>
      </c>
      <c r="J15" s="164" t="s">
        <v>2173</v>
      </c>
      <c r="K15" s="165" t="s">
        <v>3030</v>
      </c>
      <c r="L15" s="166" t="s">
        <v>2361</v>
      </c>
      <c r="M15" s="167" t="s">
        <v>2343</v>
      </c>
      <c r="N15" s="497" t="s">
        <v>2729</v>
      </c>
      <c r="O15" s="166" t="s">
        <v>2729</v>
      </c>
      <c r="P15" s="166" t="s">
        <v>2729</v>
      </c>
      <c r="Q15" s="167" t="s">
        <v>2729</v>
      </c>
      <c r="R15" s="166" t="s">
        <v>2173</v>
      </c>
    </row>
    <row r="16" ht="19.5" customHeight="1">
      <c r="A16" s="161" t="s">
        <v>2165</v>
      </c>
      <c r="B16" s="162" t="s">
        <v>2183</v>
      </c>
      <c r="C16" s="162" t="s">
        <v>2167</v>
      </c>
      <c r="D16" s="162" t="s">
        <v>2184</v>
      </c>
      <c r="E16" s="515" t="s">
        <v>2185</v>
      </c>
      <c r="F16" s="166" t="s">
        <v>2170</v>
      </c>
      <c r="G16" s="167" t="s">
        <v>2177</v>
      </c>
      <c r="H16" s="163" t="s">
        <v>3033</v>
      </c>
      <c r="I16" s="162" t="s">
        <v>3032</v>
      </c>
      <c r="J16" s="164" t="s">
        <v>2173</v>
      </c>
      <c r="K16" s="165" t="s">
        <v>3028</v>
      </c>
      <c r="L16" s="166" t="s">
        <v>3029</v>
      </c>
      <c r="M16" s="167" t="s">
        <v>2343</v>
      </c>
      <c r="N16" s="497" t="s">
        <v>2729</v>
      </c>
      <c r="O16" s="166" t="s">
        <v>2729</v>
      </c>
      <c r="P16" s="166" t="s">
        <v>2729</v>
      </c>
      <c r="Q16" s="167" t="s">
        <v>2729</v>
      </c>
      <c r="R16" s="166" t="s">
        <v>2173</v>
      </c>
    </row>
    <row r="17" ht="19.5" customHeight="1">
      <c r="A17" s="161" t="s">
        <v>2173</v>
      </c>
      <c r="B17" s="162" t="s">
        <v>2173</v>
      </c>
      <c r="C17" s="162" t="s">
        <v>2173</v>
      </c>
      <c r="D17" s="162" t="s">
        <v>2173</v>
      </c>
      <c r="E17" s="515" t="s">
        <v>2173</v>
      </c>
      <c r="F17" s="166" t="s">
        <v>2173</v>
      </c>
      <c r="G17" s="167" t="s">
        <v>2173</v>
      </c>
      <c r="H17" s="163" t="s">
        <v>2173</v>
      </c>
      <c r="I17" s="162" t="s">
        <v>2173</v>
      </c>
      <c r="J17" s="164" t="s">
        <v>2173</v>
      </c>
      <c r="K17" s="165" t="s">
        <v>3030</v>
      </c>
      <c r="L17" s="166" t="s">
        <v>2361</v>
      </c>
      <c r="M17" s="167" t="s">
        <v>2343</v>
      </c>
      <c r="N17" s="497" t="s">
        <v>2729</v>
      </c>
      <c r="O17" s="166" t="s">
        <v>2729</v>
      </c>
      <c r="P17" s="166" t="s">
        <v>2729</v>
      </c>
      <c r="Q17" s="167" t="s">
        <v>2729</v>
      </c>
      <c r="R17" s="166" t="s">
        <v>2173</v>
      </c>
    </row>
    <row r="18" ht="19.5" customHeight="1">
      <c r="A18" s="161" t="s">
        <v>2165</v>
      </c>
      <c r="B18" s="162" t="s">
        <v>2186</v>
      </c>
      <c r="C18" s="162" t="s">
        <v>2167</v>
      </c>
      <c r="D18" s="162" t="s">
        <v>2187</v>
      </c>
      <c r="E18" s="515" t="s">
        <v>2188</v>
      </c>
      <c r="F18" s="166" t="s">
        <v>2170</v>
      </c>
      <c r="G18" s="167" t="s">
        <v>2171</v>
      </c>
      <c r="H18" s="163" t="s">
        <v>3034</v>
      </c>
      <c r="I18" s="162" t="s">
        <v>2919</v>
      </c>
      <c r="J18" s="164" t="s">
        <v>2173</v>
      </c>
      <c r="K18" s="165" t="s">
        <v>3035</v>
      </c>
      <c r="L18" s="166" t="s">
        <v>2393</v>
      </c>
      <c r="M18" s="167" t="s">
        <v>2343</v>
      </c>
      <c r="N18" s="497" t="s">
        <v>2729</v>
      </c>
      <c r="O18" s="166" t="s">
        <v>2729</v>
      </c>
      <c r="P18" s="166" t="s">
        <v>3036</v>
      </c>
      <c r="Q18" s="167" t="s">
        <v>2729</v>
      </c>
      <c r="R18" s="166" t="s">
        <v>2173</v>
      </c>
    </row>
    <row r="19" ht="19.5" customHeight="1">
      <c r="A19" s="161" t="s">
        <v>2165</v>
      </c>
      <c r="B19" s="162" t="s">
        <v>2189</v>
      </c>
      <c r="C19" s="162" t="s">
        <v>2167</v>
      </c>
      <c r="D19" s="162" t="s">
        <v>2190</v>
      </c>
      <c r="E19" s="515" t="s">
        <v>2191</v>
      </c>
      <c r="F19" s="166" t="s">
        <v>2170</v>
      </c>
      <c r="G19" s="167" t="s">
        <v>2171</v>
      </c>
      <c r="H19" s="163" t="s">
        <v>2173</v>
      </c>
      <c r="I19" s="162" t="s">
        <v>2173</v>
      </c>
      <c r="J19" s="164" t="s">
        <v>3037</v>
      </c>
      <c r="K19" s="165" t="s">
        <v>3026</v>
      </c>
      <c r="L19" s="166" t="s">
        <v>3027</v>
      </c>
      <c r="M19" s="167" t="s">
        <v>3038</v>
      </c>
      <c r="N19" s="497" t="s">
        <v>2729</v>
      </c>
      <c r="O19" s="166" t="s">
        <v>2729</v>
      </c>
      <c r="P19" s="166" t="s">
        <v>2729</v>
      </c>
      <c r="Q19" s="167" t="s">
        <v>2729</v>
      </c>
      <c r="R19" s="166" t="s">
        <v>2173</v>
      </c>
    </row>
    <row r="20" ht="19.5" customHeight="1">
      <c r="A20" s="161" t="s">
        <v>2165</v>
      </c>
      <c r="B20" s="162" t="s">
        <v>2192</v>
      </c>
      <c r="C20" s="162" t="s">
        <v>2167</v>
      </c>
      <c r="D20" s="162" t="s">
        <v>2187</v>
      </c>
      <c r="E20" s="515" t="s">
        <v>2193</v>
      </c>
      <c r="F20" s="166" t="s">
        <v>2170</v>
      </c>
      <c r="G20" s="167" t="s">
        <v>2170</v>
      </c>
      <c r="H20" s="163" t="s">
        <v>2200</v>
      </c>
      <c r="I20" s="162" t="s">
        <v>2176</v>
      </c>
      <c r="J20" s="164" t="s">
        <v>2173</v>
      </c>
      <c r="K20" s="165" t="s">
        <v>3039</v>
      </c>
      <c r="L20" s="166" t="s">
        <v>2393</v>
      </c>
      <c r="M20" s="167" t="s">
        <v>2343</v>
      </c>
      <c r="N20" s="497" t="s">
        <v>2729</v>
      </c>
      <c r="O20" s="166" t="s">
        <v>2729</v>
      </c>
      <c r="P20" s="166" t="s">
        <v>2729</v>
      </c>
      <c r="Q20" s="167" t="s">
        <v>2729</v>
      </c>
      <c r="R20" s="166" t="s">
        <v>2173</v>
      </c>
    </row>
    <row r="21" ht="19.5" customHeight="1">
      <c r="A21" s="161" t="s">
        <v>2165</v>
      </c>
      <c r="B21" s="162" t="s">
        <v>2194</v>
      </c>
      <c r="C21" s="162" t="s">
        <v>2167</v>
      </c>
      <c r="D21" s="162" t="s">
        <v>2194</v>
      </c>
      <c r="E21" s="515" t="s">
        <v>2195</v>
      </c>
      <c r="F21" s="166" t="s">
        <v>2170</v>
      </c>
      <c r="G21" s="167" t="s">
        <v>2177</v>
      </c>
      <c r="H21" s="163" t="s">
        <v>3040</v>
      </c>
      <c r="I21" s="162" t="s">
        <v>3041</v>
      </c>
      <c r="J21" s="164" t="s">
        <v>2173</v>
      </c>
      <c r="K21" s="165" t="s">
        <v>3042</v>
      </c>
      <c r="L21" s="166" t="s">
        <v>3027</v>
      </c>
      <c r="M21" s="167" t="s">
        <v>2435</v>
      </c>
      <c r="N21" s="497" t="s">
        <v>2729</v>
      </c>
      <c r="O21" s="166" t="s">
        <v>3043</v>
      </c>
      <c r="P21" s="166" t="s">
        <v>3036</v>
      </c>
      <c r="Q21" s="167" t="s">
        <v>2729</v>
      </c>
      <c r="R21" s="166" t="s">
        <v>2173</v>
      </c>
    </row>
    <row r="22" ht="19.5" customHeight="1">
      <c r="A22" s="161" t="s">
        <v>2196</v>
      </c>
      <c r="B22" s="162" t="s">
        <v>2197</v>
      </c>
      <c r="C22" s="162" t="s">
        <v>2167</v>
      </c>
      <c r="D22" s="162" t="s">
        <v>2198</v>
      </c>
      <c r="E22" s="515" t="s">
        <v>2199</v>
      </c>
      <c r="F22" s="166" t="s">
        <v>2200</v>
      </c>
      <c r="G22" s="167" t="s">
        <v>2201</v>
      </c>
      <c r="H22" s="163" t="s">
        <v>2176</v>
      </c>
      <c r="I22" s="162" t="s">
        <v>2125</v>
      </c>
      <c r="J22" s="164" t="s">
        <v>2173</v>
      </c>
      <c r="K22" s="165" t="s">
        <v>3026</v>
      </c>
      <c r="L22" s="166" t="s">
        <v>3027</v>
      </c>
      <c r="M22" s="167" t="s">
        <v>2125</v>
      </c>
      <c r="N22" s="497" t="s">
        <v>2729</v>
      </c>
      <c r="O22" s="166" t="s">
        <v>2729</v>
      </c>
      <c r="P22" s="166" t="s">
        <v>2729</v>
      </c>
      <c r="Q22" s="167" t="s">
        <v>2729</v>
      </c>
      <c r="R22" s="166" t="s">
        <v>2173</v>
      </c>
    </row>
    <row r="23" ht="19.5" customHeight="1">
      <c r="A23" s="161" t="s">
        <v>2196</v>
      </c>
      <c r="B23" s="162" t="s">
        <v>2202</v>
      </c>
      <c r="C23" s="162" t="s">
        <v>2167</v>
      </c>
      <c r="D23" s="162" t="s">
        <v>2198</v>
      </c>
      <c r="E23" s="515" t="s">
        <v>2203</v>
      </c>
      <c r="F23" s="166" t="s">
        <v>2200</v>
      </c>
      <c r="G23" s="167" t="s">
        <v>2201</v>
      </c>
      <c r="H23" s="163" t="s">
        <v>3044</v>
      </c>
      <c r="I23" s="162" t="s">
        <v>2347</v>
      </c>
      <c r="J23" s="164" t="s">
        <v>2173</v>
      </c>
      <c r="K23" s="165" t="s">
        <v>3026</v>
      </c>
      <c r="L23" s="166" t="s">
        <v>3027</v>
      </c>
      <c r="M23" s="167" t="s">
        <v>2125</v>
      </c>
      <c r="N23" s="497" t="s">
        <v>2729</v>
      </c>
      <c r="O23" s="166" t="s">
        <v>2729</v>
      </c>
      <c r="P23" s="166" t="s">
        <v>2729</v>
      </c>
      <c r="Q23" s="167" t="s">
        <v>2729</v>
      </c>
      <c r="R23" s="166" t="s">
        <v>2173</v>
      </c>
    </row>
    <row r="24" ht="19.5" customHeight="1">
      <c r="A24" s="161" t="s">
        <v>2196</v>
      </c>
      <c r="B24" s="162" t="s">
        <v>2181</v>
      </c>
      <c r="C24" s="162" t="s">
        <v>2167</v>
      </c>
      <c r="D24" s="162" t="s">
        <v>2175</v>
      </c>
      <c r="E24" s="515" t="s">
        <v>2204</v>
      </c>
      <c r="F24" s="166" t="s">
        <v>2200</v>
      </c>
      <c r="G24" s="167" t="s">
        <v>2201</v>
      </c>
      <c r="H24" s="163" t="s">
        <v>2173</v>
      </c>
      <c r="I24" s="162" t="s">
        <v>2173</v>
      </c>
      <c r="J24" s="164" t="s">
        <v>3045</v>
      </c>
      <c r="K24" s="165" t="s">
        <v>3028</v>
      </c>
      <c r="L24" s="166" t="s">
        <v>3029</v>
      </c>
      <c r="M24" s="167" t="s">
        <v>2347</v>
      </c>
      <c r="N24" s="497" t="s">
        <v>2729</v>
      </c>
      <c r="O24" s="166" t="s">
        <v>2729</v>
      </c>
      <c r="P24" s="166" t="s">
        <v>2729</v>
      </c>
      <c r="Q24" s="167" t="s">
        <v>2729</v>
      </c>
      <c r="R24" s="166" t="s">
        <v>2173</v>
      </c>
    </row>
    <row r="25" ht="19.5" customHeight="1">
      <c r="A25" s="161" t="s">
        <v>2173</v>
      </c>
      <c r="B25" s="162" t="s">
        <v>2173</v>
      </c>
      <c r="C25" s="162" t="s">
        <v>2173</v>
      </c>
      <c r="D25" s="162" t="s">
        <v>2173</v>
      </c>
      <c r="E25" s="515" t="s">
        <v>2173</v>
      </c>
      <c r="F25" s="166" t="s">
        <v>2173</v>
      </c>
      <c r="G25" s="167" t="s">
        <v>2173</v>
      </c>
      <c r="H25" s="163" t="s">
        <v>2173</v>
      </c>
      <c r="I25" s="162" t="s">
        <v>2173</v>
      </c>
      <c r="J25" s="164" t="s">
        <v>2173</v>
      </c>
      <c r="K25" s="165" t="s">
        <v>3030</v>
      </c>
      <c r="L25" s="166" t="s">
        <v>2361</v>
      </c>
      <c r="M25" s="167" t="s">
        <v>2343</v>
      </c>
      <c r="N25" s="497" t="s">
        <v>2729</v>
      </c>
      <c r="O25" s="166" t="s">
        <v>2729</v>
      </c>
      <c r="P25" s="166" t="s">
        <v>2729</v>
      </c>
      <c r="Q25" s="167" t="s">
        <v>2729</v>
      </c>
      <c r="R25" s="166" t="s">
        <v>2173</v>
      </c>
    </row>
    <row r="26" ht="19.5" customHeight="1">
      <c r="A26" s="161" t="s">
        <v>2196</v>
      </c>
      <c r="B26" s="162" t="s">
        <v>2174</v>
      </c>
      <c r="C26" s="162" t="s">
        <v>2167</v>
      </c>
      <c r="D26" s="162" t="s">
        <v>2175</v>
      </c>
      <c r="E26" s="515" t="s">
        <v>2206</v>
      </c>
      <c r="F26" s="166" t="s">
        <v>2200</v>
      </c>
      <c r="G26" s="167" t="s">
        <v>2201</v>
      </c>
      <c r="H26" s="163" t="s">
        <v>2349</v>
      </c>
      <c r="I26" s="162" t="s">
        <v>3046</v>
      </c>
      <c r="J26" s="164" t="s">
        <v>2173</v>
      </c>
      <c r="K26" s="165" t="s">
        <v>3028</v>
      </c>
      <c r="L26" s="166" t="s">
        <v>3029</v>
      </c>
      <c r="M26" s="167" t="s">
        <v>2349</v>
      </c>
      <c r="N26" s="497" t="s">
        <v>2729</v>
      </c>
      <c r="O26" s="166" t="s">
        <v>2729</v>
      </c>
      <c r="P26" s="166" t="s">
        <v>2729</v>
      </c>
      <c r="Q26" s="167" t="s">
        <v>2729</v>
      </c>
      <c r="R26" s="166" t="s">
        <v>2173</v>
      </c>
    </row>
    <row r="27" ht="19.5" customHeight="1">
      <c r="A27" s="161" t="s">
        <v>2173</v>
      </c>
      <c r="B27" s="162" t="s">
        <v>2173</v>
      </c>
      <c r="C27" s="162" t="s">
        <v>2173</v>
      </c>
      <c r="D27" s="162" t="s">
        <v>2173</v>
      </c>
      <c r="E27" s="515" t="s">
        <v>2173</v>
      </c>
      <c r="F27" s="166" t="s">
        <v>2173</v>
      </c>
      <c r="G27" s="167" t="s">
        <v>2173</v>
      </c>
      <c r="H27" s="163" t="s">
        <v>2173</v>
      </c>
      <c r="I27" s="162" t="s">
        <v>2173</v>
      </c>
      <c r="J27" s="164" t="s">
        <v>2173</v>
      </c>
      <c r="K27" s="165" t="s">
        <v>3030</v>
      </c>
      <c r="L27" s="166" t="s">
        <v>2361</v>
      </c>
      <c r="M27" s="167" t="s">
        <v>2343</v>
      </c>
      <c r="N27" s="497" t="s">
        <v>2729</v>
      </c>
      <c r="O27" s="166" t="s">
        <v>2729</v>
      </c>
      <c r="P27" s="166" t="s">
        <v>2729</v>
      </c>
      <c r="Q27" s="167" t="s">
        <v>2729</v>
      </c>
      <c r="R27" s="166" t="s">
        <v>2173</v>
      </c>
    </row>
    <row r="28" ht="19.5" customHeight="1">
      <c r="A28" s="161" t="s">
        <v>2196</v>
      </c>
      <c r="B28" s="162" t="s">
        <v>2183</v>
      </c>
      <c r="C28" s="162" t="s">
        <v>2167</v>
      </c>
      <c r="D28" s="162" t="s">
        <v>2184</v>
      </c>
      <c r="E28" s="515" t="s">
        <v>2207</v>
      </c>
      <c r="F28" s="166" t="s">
        <v>2200</v>
      </c>
      <c r="G28" s="167" t="s">
        <v>2201</v>
      </c>
      <c r="H28" s="163" t="s">
        <v>3046</v>
      </c>
      <c r="I28" s="162" t="s">
        <v>3034</v>
      </c>
      <c r="J28" s="164" t="s">
        <v>2173</v>
      </c>
      <c r="K28" s="165" t="s">
        <v>3028</v>
      </c>
      <c r="L28" s="166" t="s">
        <v>3029</v>
      </c>
      <c r="M28" s="167" t="s">
        <v>2343</v>
      </c>
      <c r="N28" s="497" t="s">
        <v>2729</v>
      </c>
      <c r="O28" s="166" t="s">
        <v>2729</v>
      </c>
      <c r="P28" s="166" t="s">
        <v>2729</v>
      </c>
      <c r="Q28" s="167" t="s">
        <v>2729</v>
      </c>
      <c r="R28" s="166" t="s">
        <v>2173</v>
      </c>
    </row>
    <row r="29" ht="19.5" customHeight="1">
      <c r="A29" s="161" t="s">
        <v>2173</v>
      </c>
      <c r="B29" s="162" t="s">
        <v>2173</v>
      </c>
      <c r="C29" s="162" t="s">
        <v>2173</v>
      </c>
      <c r="D29" s="162" t="s">
        <v>2173</v>
      </c>
      <c r="E29" s="515" t="s">
        <v>2173</v>
      </c>
      <c r="F29" s="166" t="s">
        <v>2173</v>
      </c>
      <c r="G29" s="167" t="s">
        <v>2173</v>
      </c>
      <c r="H29" s="163" t="s">
        <v>2173</v>
      </c>
      <c r="I29" s="162" t="s">
        <v>2173</v>
      </c>
      <c r="J29" s="164" t="s">
        <v>2173</v>
      </c>
      <c r="K29" s="165" t="s">
        <v>3030</v>
      </c>
      <c r="L29" s="166" t="s">
        <v>2361</v>
      </c>
      <c r="M29" s="167" t="s">
        <v>2343</v>
      </c>
      <c r="N29" s="497" t="s">
        <v>2729</v>
      </c>
      <c r="O29" s="166" t="s">
        <v>2729</v>
      </c>
      <c r="P29" s="166" t="s">
        <v>2729</v>
      </c>
      <c r="Q29" s="167" t="s">
        <v>2729</v>
      </c>
      <c r="R29" s="166" t="s">
        <v>2173</v>
      </c>
    </row>
    <row r="30" ht="19.5" customHeight="1">
      <c r="A30" s="161" t="s">
        <v>2196</v>
      </c>
      <c r="B30" s="162" t="s">
        <v>2186</v>
      </c>
      <c r="C30" s="162" t="s">
        <v>2167</v>
      </c>
      <c r="D30" s="162" t="s">
        <v>2187</v>
      </c>
      <c r="E30" s="515" t="s">
        <v>2208</v>
      </c>
      <c r="F30" s="166" t="s">
        <v>2200</v>
      </c>
      <c r="G30" s="167" t="s">
        <v>2201</v>
      </c>
      <c r="H30" s="163" t="s">
        <v>2173</v>
      </c>
      <c r="I30" s="162" t="s">
        <v>2173</v>
      </c>
      <c r="J30" s="164" t="s">
        <v>3047</v>
      </c>
      <c r="K30" s="165" t="s">
        <v>3035</v>
      </c>
      <c r="L30" s="166" t="s">
        <v>2393</v>
      </c>
      <c r="M30" s="167" t="s">
        <v>2347</v>
      </c>
      <c r="N30" s="497" t="s">
        <v>2729</v>
      </c>
      <c r="O30" s="166" t="s">
        <v>2729</v>
      </c>
      <c r="P30" s="166" t="s">
        <v>3036</v>
      </c>
      <c r="Q30" s="167" t="s">
        <v>2729</v>
      </c>
      <c r="R30" s="166" t="s">
        <v>2173</v>
      </c>
    </row>
    <row r="31" ht="19.5" customHeight="1">
      <c r="A31" s="161" t="s">
        <v>2196</v>
      </c>
      <c r="B31" s="162" t="s">
        <v>2209</v>
      </c>
      <c r="C31" s="162" t="s">
        <v>2167</v>
      </c>
      <c r="D31" s="162" t="s">
        <v>2187</v>
      </c>
      <c r="E31" s="515" t="s">
        <v>2210</v>
      </c>
      <c r="F31" s="166" t="s">
        <v>2200</v>
      </c>
      <c r="G31" s="167" t="s">
        <v>2201</v>
      </c>
      <c r="H31" s="163" t="s">
        <v>3048</v>
      </c>
      <c r="I31" s="162" t="s">
        <v>2176</v>
      </c>
      <c r="J31" s="164" t="s">
        <v>2173</v>
      </c>
      <c r="K31" s="165" t="s">
        <v>3026</v>
      </c>
      <c r="L31" s="166" t="s">
        <v>3027</v>
      </c>
      <c r="M31" s="167" t="s">
        <v>2347</v>
      </c>
      <c r="N31" s="497" t="s">
        <v>2729</v>
      </c>
      <c r="O31" s="166" t="s">
        <v>2729</v>
      </c>
      <c r="P31" s="166" t="s">
        <v>3036</v>
      </c>
      <c r="Q31" s="167" t="s">
        <v>2729</v>
      </c>
      <c r="R31" s="166" t="s">
        <v>2173</v>
      </c>
    </row>
    <row r="32" ht="19.5" customHeight="1">
      <c r="A32" s="161" t="s">
        <v>2196</v>
      </c>
      <c r="B32" s="162" t="s">
        <v>2189</v>
      </c>
      <c r="C32" s="162" t="s">
        <v>2167</v>
      </c>
      <c r="D32" s="162" t="s">
        <v>2190</v>
      </c>
      <c r="E32" s="515" t="s">
        <v>2211</v>
      </c>
      <c r="F32" s="166" t="s">
        <v>2200</v>
      </c>
      <c r="G32" s="167" t="s">
        <v>2201</v>
      </c>
      <c r="H32" s="163" t="s">
        <v>2919</v>
      </c>
      <c r="I32" s="162" t="s">
        <v>2177</v>
      </c>
      <c r="J32" s="164" t="s">
        <v>2173</v>
      </c>
      <c r="K32" s="165" t="s">
        <v>3026</v>
      </c>
      <c r="L32" s="166" t="s">
        <v>3027</v>
      </c>
      <c r="M32" s="167" t="s">
        <v>2125</v>
      </c>
      <c r="N32" s="497" t="s">
        <v>2729</v>
      </c>
      <c r="O32" s="166" t="s">
        <v>2729</v>
      </c>
      <c r="P32" s="166" t="s">
        <v>2729</v>
      </c>
      <c r="Q32" s="167" t="s">
        <v>2729</v>
      </c>
      <c r="R32" s="166" t="s">
        <v>2173</v>
      </c>
    </row>
    <row r="33" ht="19.5" customHeight="1">
      <c r="A33" s="161" t="s">
        <v>2196</v>
      </c>
      <c r="B33" s="162" t="s">
        <v>2192</v>
      </c>
      <c r="C33" s="162" t="s">
        <v>2167</v>
      </c>
      <c r="D33" s="162" t="s">
        <v>2187</v>
      </c>
      <c r="E33" s="515" t="s">
        <v>2193</v>
      </c>
      <c r="F33" s="166" t="s">
        <v>2200</v>
      </c>
      <c r="G33" s="167" t="s">
        <v>2200</v>
      </c>
      <c r="H33" s="163" t="s">
        <v>2200</v>
      </c>
      <c r="I33" s="162" t="s">
        <v>2176</v>
      </c>
      <c r="J33" s="164" t="s">
        <v>2173</v>
      </c>
      <c r="K33" s="165" t="s">
        <v>3039</v>
      </c>
      <c r="L33" s="166" t="s">
        <v>2393</v>
      </c>
      <c r="M33" s="167" t="s">
        <v>2343</v>
      </c>
      <c r="N33" s="497" t="s">
        <v>2729</v>
      </c>
      <c r="O33" s="166" t="s">
        <v>2729</v>
      </c>
      <c r="P33" s="166" t="s">
        <v>2729</v>
      </c>
      <c r="Q33" s="167" t="s">
        <v>2729</v>
      </c>
      <c r="R33" s="166" t="s">
        <v>2173</v>
      </c>
    </row>
    <row r="34" ht="19.5" customHeight="1">
      <c r="A34" s="161" t="s">
        <v>2196</v>
      </c>
      <c r="B34" s="162" t="s">
        <v>2194</v>
      </c>
      <c r="C34" s="162" t="s">
        <v>2167</v>
      </c>
      <c r="D34" s="162" t="s">
        <v>2194</v>
      </c>
      <c r="E34" s="515" t="s">
        <v>2195</v>
      </c>
      <c r="F34" s="166" t="s">
        <v>2200</v>
      </c>
      <c r="G34" s="167" t="s">
        <v>2201</v>
      </c>
      <c r="H34" s="163" t="s">
        <v>3040</v>
      </c>
      <c r="I34" s="162" t="s">
        <v>3041</v>
      </c>
      <c r="J34" s="164" t="s">
        <v>2173</v>
      </c>
      <c r="K34" s="165" t="s">
        <v>3042</v>
      </c>
      <c r="L34" s="166" t="s">
        <v>3027</v>
      </c>
      <c r="M34" s="167" t="s">
        <v>2435</v>
      </c>
      <c r="N34" s="497" t="s">
        <v>2729</v>
      </c>
      <c r="O34" s="166" t="s">
        <v>3043</v>
      </c>
      <c r="P34" s="166" t="s">
        <v>3036</v>
      </c>
      <c r="Q34" s="167" t="s">
        <v>2729</v>
      </c>
      <c r="R34" s="166" t="s">
        <v>2173</v>
      </c>
    </row>
    <row r="35" ht="19.5" customHeight="1">
      <c r="A35" s="161" t="s">
        <v>2212</v>
      </c>
      <c r="B35" s="162" t="s">
        <v>2189</v>
      </c>
      <c r="C35" s="162" t="s">
        <v>2167</v>
      </c>
      <c r="D35" s="162" t="s">
        <v>2190</v>
      </c>
      <c r="E35" s="515" t="s">
        <v>2211</v>
      </c>
      <c r="F35" s="166" t="s">
        <v>2200</v>
      </c>
      <c r="G35" s="167" t="s">
        <v>2201</v>
      </c>
      <c r="H35" s="163" t="s">
        <v>2919</v>
      </c>
      <c r="I35" s="162" t="s">
        <v>2177</v>
      </c>
      <c r="J35" s="164" t="s">
        <v>2173</v>
      </c>
      <c r="K35" s="165" t="s">
        <v>3026</v>
      </c>
      <c r="L35" s="166" t="s">
        <v>3027</v>
      </c>
      <c r="M35" s="167" t="s">
        <v>2125</v>
      </c>
      <c r="N35" s="497" t="s">
        <v>2729</v>
      </c>
      <c r="O35" s="166" t="s">
        <v>2729</v>
      </c>
      <c r="P35" s="166" t="s">
        <v>2729</v>
      </c>
      <c r="Q35" s="167" t="s">
        <v>2729</v>
      </c>
      <c r="R35" s="166" t="s">
        <v>2173</v>
      </c>
    </row>
    <row r="36" ht="19.5" customHeight="1">
      <c r="A36" s="161" t="s">
        <v>2212</v>
      </c>
      <c r="B36" s="162" t="s">
        <v>2192</v>
      </c>
      <c r="C36" s="162" t="s">
        <v>2167</v>
      </c>
      <c r="D36" s="162" t="s">
        <v>2187</v>
      </c>
      <c r="E36" s="515" t="s">
        <v>2193</v>
      </c>
      <c r="F36" s="166" t="s">
        <v>2200</v>
      </c>
      <c r="G36" s="167" t="s">
        <v>2200</v>
      </c>
      <c r="H36" s="163" t="s">
        <v>2200</v>
      </c>
      <c r="I36" s="162" t="s">
        <v>2176</v>
      </c>
      <c r="J36" s="164" t="s">
        <v>2173</v>
      </c>
      <c r="K36" s="165" t="s">
        <v>3039</v>
      </c>
      <c r="L36" s="166" t="s">
        <v>2393</v>
      </c>
      <c r="M36" s="167" t="s">
        <v>2343</v>
      </c>
      <c r="N36" s="497" t="s">
        <v>2729</v>
      </c>
      <c r="O36" s="166" t="s">
        <v>2729</v>
      </c>
      <c r="P36" s="166" t="s">
        <v>2729</v>
      </c>
      <c r="Q36" s="167" t="s">
        <v>2729</v>
      </c>
      <c r="R36" s="166" t="s">
        <v>2173</v>
      </c>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EC-LT11" error="室用途（大分類）に不正な値が入力されています。選択項目から選択してください。" type="list" errorStyle="warning">
      <formula1>data!$E$2:$E$11</formula1>
    </dataValidation>
    <dataValidation sqref="D11:D1010" showErrorMessage="1" showInputMessage="1" allowBlank="1" errorTitle="EC-LT12" error="室用途（小分類）に不正な値が入力されています。選択項目から選択してください。" type="list" errorStyle="warning">
      <formula1>INDIRECT(C11)</formula1>
    </dataValidation>
    <dataValidation sqref="N11:N1010" showErrorMessage="1" showInputMessage="1" allowBlank="1" errorTitle="EC-LT59" error="在室検知制御に不正な値が入力されています。選択項目から選択してください。" type="list" errorStyle="warning">
      <formula1>data!$W$2:$W$5</formula1>
    </dataValidation>
    <dataValidation sqref="O11:O1010" showErrorMessage="1" showInputMessage="1" allowBlank="1" errorTitle="EC-LT70" error="明るさ検知制御に不正な値が入力されています。選択項目から選択してください。" type="list" errorStyle="warning">
      <formula1>data!$X$2:$X$11</formula1>
    </dataValidation>
    <dataValidation sqref="P11:P1010" showErrorMessage="1" showInputMessage="1" allowBlank="1" errorTitle="EC-LT60" error="タイムスケジュール制御に不正な値が入力されています。選択項目から選択してください。" type="list" errorStyle="warning">
      <formula1>data!$Y$2:$Y$4</formula1>
    </dataValidation>
    <dataValidation sqref="Q11:Q1010" showErrorMessage="1" showInputMessage="1" allowBlank="1" errorTitle="EC-LT71"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2146</v>
      </c>
      <c r="B6" s="944" t="s">
        <v>2147</v>
      </c>
      <c r="C6" s="944" t="s">
        <v>2149</v>
      </c>
      <c r="D6" s="913"/>
      <c r="E6" s="523" t="s">
        <v>2150</v>
      </c>
      <c r="F6" s="191" t="s">
        <v>3049</v>
      </c>
      <c r="G6" s="585" t="s">
        <v>3050</v>
      </c>
      <c r="H6" s="525" t="s">
        <v>3051</v>
      </c>
      <c r="I6" s="944" t="s">
        <v>2158</v>
      </c>
    </row>
    <row r="7" ht="14.25" customHeight="1">
      <c r="A7" s="198"/>
      <c r="B7" s="944"/>
      <c r="C7" s="945"/>
      <c r="D7" s="885"/>
      <c r="E7" s="523"/>
      <c r="F7" s="191" t="s">
        <v>3052</v>
      </c>
      <c r="G7" s="524"/>
      <c r="H7" s="525"/>
      <c r="I7" s="944"/>
    </row>
    <row r="8" ht="15" customHeight="1">
      <c r="A8" s="198"/>
      <c r="B8" s="526"/>
      <c r="C8" s="816" t="s">
        <v>2159</v>
      </c>
      <c r="D8" s="816" t="s">
        <v>2160</v>
      </c>
      <c r="E8" s="523" t="s">
        <v>2161</v>
      </c>
      <c r="F8" s="191"/>
      <c r="G8" s="524"/>
      <c r="H8" s="525"/>
      <c r="I8" s="526"/>
    </row>
    <row r="9" ht="15" customHeight="1">
      <c r="A9" s="198" t="s">
        <v>2223</v>
      </c>
      <c r="B9" s="944" t="s">
        <v>2223</v>
      </c>
      <c r="C9" s="944" t="s">
        <v>2223</v>
      </c>
      <c r="D9" s="944" t="s">
        <v>2223</v>
      </c>
      <c r="E9" s="523" t="s">
        <v>2223</v>
      </c>
      <c r="F9" s="191"/>
      <c r="G9" s="524" t="s">
        <v>2163</v>
      </c>
      <c r="H9" s="525" t="s">
        <v>2223</v>
      </c>
      <c r="I9" s="944"/>
    </row>
    <row r="10" ht="9.75" customHeight="1" s="57" customFormat="1">
      <c r="A10" s="518"/>
      <c r="B10" s="527"/>
      <c r="C10" s="527"/>
      <c r="D10" s="527"/>
      <c r="E10" s="528"/>
      <c r="F10" s="529"/>
      <c r="G10" s="530"/>
      <c r="H10" s="531"/>
      <c r="I10" s="527"/>
    </row>
    <row r="11" ht="18.75" customHeight="1" s="592" customFormat="1">
      <c r="A11" s="661" t="s">
        <v>2165</v>
      </c>
      <c r="B11" s="101" t="s">
        <v>2166</v>
      </c>
      <c r="C11" s="106" t="s">
        <v>2167</v>
      </c>
      <c r="D11" s="106" t="s">
        <v>2168</v>
      </c>
      <c r="E11" s="173" t="s">
        <v>2169</v>
      </c>
      <c r="F11" s="103" t="s">
        <v>2183</v>
      </c>
      <c r="G11" s="662" t="s">
        <v>3053</v>
      </c>
      <c r="H11" s="663" t="s">
        <v>3054</v>
      </c>
      <c r="I11" s="101" t="s">
        <v>2173</v>
      </c>
    </row>
    <row r="12" ht="18.75" customHeight="1">
      <c r="A12" s="174" t="s">
        <v>2165</v>
      </c>
      <c r="B12" s="131" t="s">
        <v>2194</v>
      </c>
      <c r="C12" s="113" t="s">
        <v>2167</v>
      </c>
      <c r="D12" s="113" t="s">
        <v>2194</v>
      </c>
      <c r="E12" s="146" t="s">
        <v>2195</v>
      </c>
      <c r="F12" s="103" t="s">
        <v>2183</v>
      </c>
      <c r="G12" s="168" t="s">
        <v>3053</v>
      </c>
      <c r="H12" s="169" t="s">
        <v>3054</v>
      </c>
      <c r="I12" s="131" t="s">
        <v>2173</v>
      </c>
    </row>
    <row r="13" ht="18.75" customHeight="1">
      <c r="A13" s="114" t="s">
        <v>2196</v>
      </c>
      <c r="B13" s="113" t="s">
        <v>2194</v>
      </c>
      <c r="C13" s="113" t="s">
        <v>2167</v>
      </c>
      <c r="D13" s="113" t="s">
        <v>2194</v>
      </c>
      <c r="E13" s="146" t="s">
        <v>2195</v>
      </c>
      <c r="F13" s="103" t="s">
        <v>2183</v>
      </c>
      <c r="G13" s="168" t="s">
        <v>3053</v>
      </c>
      <c r="H13" s="169" t="s">
        <v>3055</v>
      </c>
      <c r="I13" s="113" t="s">
        <v>2173</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EC-HW11" error="室用途（大分類）に不正な値が入力されています。選択項目から選択してください。" type="list" errorStyle="warning">
      <formula1>data!$E$2:$E$11</formula1>
    </dataValidation>
    <dataValidation sqref="D11:D1010" showErrorMessage="1" showInputMessage="1" allowBlank="1" errorTitle="EC-HW12" error="室用途（小分類）に不正な値が入力されています。選択項目から選択してください。" type="list" errorStyle="warning">
      <formula1>INDIRECT(C11)</formula1>
    </dataValidation>
    <dataValidation sqref="G11:G1010" showErrorMessage="1" showInputMessage="1" allowBlank="1" errorTitle="EC-HW24"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3056</v>
      </c>
      <c r="H4" s="918"/>
      <c r="I4" s="919"/>
      <c r="J4" s="374" t="s">
        <v>2134</v>
      </c>
    </row>
    <row r="5" ht="18" customHeight="1">
      <c r="A5" s="379"/>
      <c r="B5" s="375"/>
      <c r="C5" s="376"/>
      <c r="D5" s="385"/>
      <c r="E5" s="385"/>
      <c r="F5" s="321"/>
      <c r="G5" s="368" t="s">
        <v>2122</v>
      </c>
      <c r="H5" s="369" t="s">
        <v>2128</v>
      </c>
      <c r="I5" s="377" t="s">
        <v>2131</v>
      </c>
      <c r="J5" s="378"/>
    </row>
    <row r="6" ht="47" customHeight="1">
      <c r="A6" s="379" t="s">
        <v>3051</v>
      </c>
      <c r="B6" s="586" t="s">
        <v>3057</v>
      </c>
      <c r="C6" s="380" t="s">
        <v>2771</v>
      </c>
      <c r="D6" s="370" t="s">
        <v>3058</v>
      </c>
      <c r="E6" s="370" t="s">
        <v>3059</v>
      </c>
      <c r="F6" s="319" t="s">
        <v>3060</v>
      </c>
      <c r="G6" s="382" t="s">
        <v>3061</v>
      </c>
      <c r="H6" s="370" t="s">
        <v>3062</v>
      </c>
      <c r="I6" s="383" t="s">
        <v>3063</v>
      </c>
      <c r="J6" s="381" t="s">
        <v>2158</v>
      </c>
    </row>
    <row r="7" ht="8.25" customHeight="1">
      <c r="A7" s="379"/>
      <c r="B7" s="375"/>
      <c r="C7" s="376"/>
      <c r="D7" s="385"/>
      <c r="E7" s="385"/>
      <c r="F7" s="321"/>
      <c r="G7" s="382"/>
      <c r="H7" s="370"/>
      <c r="I7" s="383"/>
      <c r="J7" s="378"/>
    </row>
    <row r="8" ht="15.75" customHeight="1">
      <c r="A8" s="379"/>
      <c r="B8" s="375" t="s">
        <v>2985</v>
      </c>
      <c r="C8" s="376" t="s">
        <v>2984</v>
      </c>
      <c r="D8" s="385" t="s">
        <v>2368</v>
      </c>
      <c r="E8" s="385"/>
      <c r="F8" s="321" t="s">
        <v>2367</v>
      </c>
      <c r="G8" s="384" t="s">
        <v>2161</v>
      </c>
      <c r="H8" s="385" t="s">
        <v>3064</v>
      </c>
      <c r="I8" s="385" t="s">
        <v>3064</v>
      </c>
      <c r="J8" s="378"/>
    </row>
    <row r="9" ht="15.75" customHeight="1" s="57" customFormat="1">
      <c r="A9" s="379"/>
      <c r="B9" s="375"/>
      <c r="C9" s="376"/>
      <c r="D9" s="385"/>
      <c r="E9" s="385" t="s">
        <v>2163</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3054</v>
      </c>
      <c r="B11" s="665" t="s">
        <v>3065</v>
      </c>
      <c r="C11" s="666" t="s">
        <v>2347</v>
      </c>
      <c r="D11" s="667" t="s">
        <v>3066</v>
      </c>
      <c r="E11" s="667" t="s">
        <v>3067</v>
      </c>
      <c r="F11" s="668" t="s">
        <v>3068</v>
      </c>
      <c r="G11" s="669" t="s">
        <v>2173</v>
      </c>
      <c r="H11" s="667" t="s">
        <v>2173</v>
      </c>
      <c r="I11" s="670" t="s">
        <v>2173</v>
      </c>
      <c r="J11" s="671" t="s">
        <v>2173</v>
      </c>
    </row>
    <row r="12" ht="24" customHeight="1">
      <c r="A12" s="182" t="s">
        <v>3055</v>
      </c>
      <c r="B12" s="176" t="s">
        <v>3065</v>
      </c>
      <c r="C12" s="177" t="s">
        <v>2347</v>
      </c>
      <c r="D12" s="170" t="s">
        <v>3066</v>
      </c>
      <c r="E12" s="171" t="s">
        <v>3067</v>
      </c>
      <c r="F12" s="172" t="s">
        <v>3068</v>
      </c>
      <c r="G12" s="178" t="s">
        <v>2173</v>
      </c>
      <c r="H12" s="170" t="s">
        <v>2173</v>
      </c>
      <c r="I12" s="179" t="s">
        <v>2173</v>
      </c>
      <c r="J12" s="180" t="s">
        <v>2173</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EC-HW64" error="燃料種類に不正な値が入力されています。選択項目から選択してください。" type="list" errorStyle="warning">
      <formula1>data!$AB$2:$AB$8</formula1>
    </dataValidation>
    <dataValidation sqref="E11:E1010" showErrorMessage="1" showInputMessage="1" allowBlank="1" errorTitle="EC-HW41"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3069</v>
      </c>
      <c r="B4" s="918"/>
      <c r="C4" s="918"/>
      <c r="D4" s="919"/>
      <c r="E4" s="126" t="s">
        <v>2103</v>
      </c>
      <c r="F4" s="386" t="s">
        <v>2106</v>
      </c>
      <c r="G4" s="387" t="s">
        <v>2109</v>
      </c>
      <c r="H4" s="388" t="s">
        <v>2116</v>
      </c>
      <c r="I4" s="388" t="s">
        <v>2119</v>
      </c>
      <c r="J4" s="126" t="s">
        <v>2122</v>
      </c>
      <c r="K4" s="774" t="s">
        <v>2128</v>
      </c>
      <c r="L4" s="68"/>
    </row>
    <row r="5" ht="21" customHeight="1">
      <c r="A5" s="389" t="s">
        <v>2100</v>
      </c>
      <c r="B5" s="387" t="s">
        <v>2100</v>
      </c>
      <c r="C5" s="951" t="s">
        <v>2100</v>
      </c>
      <c r="D5" s="939"/>
      <c r="E5" s="390"/>
      <c r="F5" s="391"/>
      <c r="G5" s="392"/>
      <c r="H5" s="394"/>
      <c r="I5" s="394"/>
      <c r="J5" s="390"/>
      <c r="K5" s="392"/>
      <c r="L5" s="68"/>
    </row>
    <row r="6" ht="36" customHeight="1">
      <c r="A6" s="393" t="s">
        <v>2146</v>
      </c>
      <c r="B6" s="392" t="s">
        <v>2147</v>
      </c>
      <c r="C6" s="949" t="s">
        <v>2149</v>
      </c>
      <c r="D6" s="950"/>
      <c r="E6" s="390" t="s">
        <v>3018</v>
      </c>
      <c r="F6" s="391" t="s">
        <v>2763</v>
      </c>
      <c r="G6" s="392" t="s">
        <v>3070</v>
      </c>
      <c r="H6" s="394" t="s">
        <v>3071</v>
      </c>
      <c r="I6" s="394" t="s">
        <v>3072</v>
      </c>
      <c r="J6" s="587" t="s">
        <v>3073</v>
      </c>
      <c r="K6" s="775" t="s">
        <v>2158</v>
      </c>
      <c r="L6" s="68"/>
    </row>
    <row r="7" ht="21" customHeight="1">
      <c r="A7" s="393"/>
      <c r="B7" s="392"/>
      <c r="C7" s="948"/>
      <c r="D7" s="902"/>
      <c r="E7" s="390" t="s">
        <v>3074</v>
      </c>
      <c r="F7" s="391"/>
      <c r="G7" s="392"/>
      <c r="H7" s="394"/>
      <c r="I7" s="394"/>
      <c r="J7" s="390"/>
      <c r="K7" s="392"/>
      <c r="L7" s="68"/>
    </row>
    <row r="8" ht="18" customHeight="1" s="67" customFormat="1">
      <c r="A8" s="395"/>
      <c r="B8" s="392"/>
      <c r="C8" s="817" t="s">
        <v>2159</v>
      </c>
      <c r="D8" s="818" t="s">
        <v>2160</v>
      </c>
      <c r="E8" s="390"/>
      <c r="F8" s="391" t="s">
        <v>2776</v>
      </c>
      <c r="G8" s="392" t="s">
        <v>3075</v>
      </c>
      <c r="H8" s="394" t="s">
        <v>3076</v>
      </c>
      <c r="I8" s="394" t="s">
        <v>2368</v>
      </c>
      <c r="J8" s="390"/>
      <c r="K8" s="392"/>
      <c r="L8" s="95"/>
    </row>
    <row r="9" ht="18" customHeight="1" s="67" customFormat="1">
      <c r="A9" s="395" t="s">
        <v>2223</v>
      </c>
      <c r="B9" s="392" t="s">
        <v>2223</v>
      </c>
      <c r="C9" s="392" t="s">
        <v>2223</v>
      </c>
      <c r="D9" s="949" t="s">
        <v>2223</v>
      </c>
      <c r="E9" s="390"/>
      <c r="F9" s="391"/>
      <c r="G9" s="392"/>
      <c r="H9" s="394"/>
      <c r="I9" s="394"/>
      <c r="J9" s="396" t="s">
        <v>2163</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2196</v>
      </c>
      <c r="B11" s="673" t="s">
        <v>2194</v>
      </c>
      <c r="C11" s="674" t="s">
        <v>2167</v>
      </c>
      <c r="D11" s="675" t="s">
        <v>2194</v>
      </c>
      <c r="E11" s="676" t="s">
        <v>3077</v>
      </c>
      <c r="F11" s="672" t="s">
        <v>2343</v>
      </c>
      <c r="G11" s="674" t="s">
        <v>3078</v>
      </c>
      <c r="H11" s="675" t="s">
        <v>2378</v>
      </c>
      <c r="I11" s="675" t="s">
        <v>2343</v>
      </c>
      <c r="J11" s="677" t="s">
        <v>3079</v>
      </c>
      <c r="K11" s="674" t="s">
        <v>2173</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EC-EV8" error="室用途（大分類）に不正な値が入力されています。選択項目から選択してください。" type="list" errorStyle="warning">
      <formula1>data!$E$2:$E$11</formula1>
    </dataValidation>
    <dataValidation sqref="D11:D1010" showErrorMessage="1" showInputMessage="1" allowBlank="1" errorTitle="EC-EV9" error="室用途（小分類）に不正な値が入力されています。選択項目から選択してください。" type="list" errorStyle="warning">
      <formula1>INDIRECT(C11)</formula1>
    </dataValidation>
    <dataValidation sqref="J11:J1010" showErrorMessage="1" showInputMessage="1" allowBlank="1" errorTitle="EC-EV32"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2122</v>
      </c>
      <c r="H4" s="246" t="s">
        <v>2128</v>
      </c>
    </row>
    <row r="5">
      <c r="A5" s="193"/>
      <c r="B5" s="551"/>
      <c r="C5" s="548"/>
      <c r="D5" s="548"/>
      <c r="E5" s="548"/>
      <c r="F5" s="548"/>
      <c r="G5" s="548"/>
      <c r="H5" s="201"/>
    </row>
    <row r="6" ht="26" customHeight="1">
      <c r="A6" s="549" t="s">
        <v>3080</v>
      </c>
      <c r="B6" s="552" t="s">
        <v>3081</v>
      </c>
      <c r="C6" s="548" t="s">
        <v>3082</v>
      </c>
      <c r="D6" s="548" t="s">
        <v>3083</v>
      </c>
      <c r="E6" s="548" t="s">
        <v>3084</v>
      </c>
      <c r="F6" s="548" t="s">
        <v>3085</v>
      </c>
      <c r="G6" s="548" t="s">
        <v>3086</v>
      </c>
      <c r="H6" s="201" t="s">
        <v>2158</v>
      </c>
    </row>
    <row r="7" ht="5.25" customHeight="1">
      <c r="A7" s="193"/>
      <c r="B7" s="551"/>
      <c r="C7" s="548"/>
      <c r="D7" s="548"/>
      <c r="E7" s="548"/>
      <c r="F7" s="548"/>
      <c r="G7" s="548"/>
      <c r="H7" s="201"/>
    </row>
    <row r="8">
      <c r="A8" s="193"/>
      <c r="B8" s="551" t="s">
        <v>2368</v>
      </c>
      <c r="C8" s="548"/>
      <c r="D8" s="548"/>
      <c r="E8" s="548" t="s">
        <v>2984</v>
      </c>
      <c r="F8" s="548" t="s">
        <v>3064</v>
      </c>
      <c r="G8" s="548" t="s">
        <v>3064</v>
      </c>
      <c r="H8" s="201"/>
    </row>
    <row r="9">
      <c r="A9" s="193"/>
      <c r="B9" s="551"/>
      <c r="C9" s="548" t="s">
        <v>2163</v>
      </c>
      <c r="D9" s="548" t="s">
        <v>2163</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EC-EU4" error="太陽電池の種類に不正な値が入力されています。選択項目から選択してください。" type="list" errorStyle="warning">
      <formula1>data!$AE$2:$AE$3</formula1>
    </dataValidation>
    <dataValidation sqref="D11:D1010" showErrorMessage="1" showInputMessage="1" allowBlank="1" errorTitle="EC-EU6"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3087</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3088</v>
      </c>
      <c r="E4" s="908"/>
      <c r="F4" s="907"/>
      <c r="G4" s="952" t="s">
        <v>3089</v>
      </c>
      <c r="H4" s="908"/>
      <c r="I4" s="908"/>
      <c r="J4" s="909" t="s">
        <v>3090</v>
      </c>
      <c r="K4" s="908"/>
      <c r="L4" s="907"/>
      <c r="M4" s="270" t="s">
        <v>2143</v>
      </c>
      <c r="N4" s="909" t="s">
        <v>3091</v>
      </c>
      <c r="O4" s="908"/>
      <c r="P4" s="907"/>
      <c r="Q4" s="748" t="s">
        <v>2748</v>
      </c>
    </row>
    <row r="5" ht="19.25" customHeight="1" s="749" customFormat="1">
      <c r="A5" s="738"/>
      <c r="B5" s="738"/>
      <c r="C5" s="750"/>
      <c r="D5" s="751" t="s">
        <v>2109</v>
      </c>
      <c r="E5" s="752" t="s">
        <v>2116</v>
      </c>
      <c r="F5" s="753" t="s">
        <v>2119</v>
      </c>
      <c r="G5" s="751" t="s">
        <v>2122</v>
      </c>
      <c r="H5" s="752" t="s">
        <v>2128</v>
      </c>
      <c r="I5" s="764" t="s">
        <v>2131</v>
      </c>
      <c r="J5" s="751" t="s">
        <v>2134</v>
      </c>
      <c r="K5" s="752" t="s">
        <v>2137</v>
      </c>
      <c r="L5" s="753" t="s">
        <v>2140</v>
      </c>
      <c r="M5" s="559" t="s">
        <v>3092</v>
      </c>
      <c r="N5" s="882" t="s">
        <v>3093</v>
      </c>
      <c r="O5" s="915"/>
      <c r="P5" s="753" t="s">
        <v>2754</v>
      </c>
      <c r="Q5" s="754"/>
    </row>
    <row r="6" ht="19.25" customHeight="1" s="749" customFormat="1">
      <c r="A6" s="755" t="s">
        <v>3094</v>
      </c>
      <c r="B6" s="745" t="s">
        <v>3095</v>
      </c>
      <c r="C6" s="254" t="s">
        <v>3096</v>
      </c>
      <c r="D6" s="193" t="s">
        <v>3097</v>
      </c>
      <c r="E6" s="548" t="s">
        <v>3097</v>
      </c>
      <c r="F6" s="323" t="s">
        <v>3097</v>
      </c>
      <c r="G6" s="193" t="s">
        <v>3097</v>
      </c>
      <c r="H6" s="548" t="s">
        <v>3097</v>
      </c>
      <c r="I6" s="765" t="s">
        <v>3097</v>
      </c>
      <c r="J6" s="193" t="s">
        <v>3098</v>
      </c>
      <c r="K6" s="548" t="s">
        <v>3098</v>
      </c>
      <c r="L6" s="323" t="s">
        <v>3099</v>
      </c>
      <c r="M6" s="559" t="s">
        <v>3100</v>
      </c>
      <c r="N6" s="751" t="s">
        <v>2752</v>
      </c>
      <c r="O6" s="752" t="s">
        <v>2753</v>
      </c>
      <c r="P6" s="201" t="s">
        <v>3099</v>
      </c>
      <c r="Q6" s="754" t="s">
        <v>2158</v>
      </c>
    </row>
    <row r="7" ht="19.25" customHeight="1" s="749" customFormat="1">
      <c r="A7" s="763" t="s">
        <v>3101</v>
      </c>
      <c r="B7" s="738"/>
      <c r="C7" s="254"/>
      <c r="D7" s="756" t="s">
        <v>3102</v>
      </c>
      <c r="E7" s="931">
        <v>0.75</v>
      </c>
      <c r="F7" s="324" t="s">
        <v>3103</v>
      </c>
      <c r="G7" s="756" t="s">
        <v>3102</v>
      </c>
      <c r="H7" s="931">
        <v>0.75</v>
      </c>
      <c r="I7" s="199" t="s">
        <v>3103</v>
      </c>
      <c r="J7" s="737" t="s">
        <v>3104</v>
      </c>
      <c r="K7" s="931" t="s">
        <v>3105</v>
      </c>
      <c r="L7" s="323"/>
      <c r="M7" s="559" t="s">
        <v>3010</v>
      </c>
      <c r="N7" s="193" t="s">
        <v>3104</v>
      </c>
      <c r="O7" s="548" t="s">
        <v>3105</v>
      </c>
      <c r="P7" s="201" t="s">
        <v>3106</v>
      </c>
      <c r="Q7" s="754"/>
    </row>
    <row r="8" ht="22.25" customHeight="1" s="749" customFormat="1">
      <c r="A8" s="738"/>
      <c r="B8" s="738" t="s">
        <v>2984</v>
      </c>
      <c r="C8" s="750" t="s">
        <v>2776</v>
      </c>
      <c r="D8" s="737" t="s">
        <v>2368</v>
      </c>
      <c r="E8" s="931" t="s">
        <v>2368</v>
      </c>
      <c r="F8" s="323" t="s">
        <v>2368</v>
      </c>
      <c r="G8" s="737" t="s">
        <v>2368</v>
      </c>
      <c r="H8" s="931" t="s">
        <v>2368</v>
      </c>
      <c r="I8" s="765" t="s">
        <v>2368</v>
      </c>
      <c r="J8" s="737" t="s">
        <v>2368</v>
      </c>
      <c r="K8" s="931" t="s">
        <v>2368</v>
      </c>
      <c r="L8" s="323" t="s">
        <v>2368</v>
      </c>
      <c r="M8" s="757" t="s">
        <v>2368</v>
      </c>
      <c r="N8" s="254" t="s">
        <v>2163</v>
      </c>
      <c r="O8" s="548" t="s">
        <v>2163</v>
      </c>
      <c r="P8" s="201" t="s">
        <v>2163</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3107</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3108</v>
      </c>
      <c r="B4" s="918"/>
      <c r="C4" s="918"/>
      <c r="D4" s="918"/>
      <c r="E4" s="918"/>
      <c r="F4" s="919"/>
      <c r="G4" s="917" t="s">
        <v>2709</v>
      </c>
      <c r="H4" s="918"/>
      <c r="I4" s="918"/>
      <c r="J4" s="918"/>
      <c r="K4" s="918"/>
      <c r="L4" s="918"/>
      <c r="M4" s="918"/>
      <c r="N4" s="919"/>
      <c r="O4" s="779" t="s">
        <v>2131</v>
      </c>
      <c r="P4" s="40"/>
    </row>
    <row r="5" ht="20.25" customHeight="1" s="30" customFormat="1">
      <c r="A5" s="254" t="s">
        <v>2100</v>
      </c>
      <c r="B5" s="558" t="s">
        <v>2100</v>
      </c>
      <c r="C5" s="955" t="s">
        <v>2100</v>
      </c>
      <c r="D5" s="929"/>
      <c r="E5" s="559" t="s">
        <v>2100</v>
      </c>
      <c r="F5" s="548" t="s">
        <v>2100</v>
      </c>
      <c r="G5" s="249" t="s">
        <v>2103</v>
      </c>
      <c r="H5" s="249" t="s">
        <v>2106</v>
      </c>
      <c r="I5" s="250" t="s">
        <v>2106</v>
      </c>
      <c r="J5" s="954" t="s">
        <v>2710</v>
      </c>
      <c r="K5" s="918"/>
      <c r="L5" s="917" t="s">
        <v>3109</v>
      </c>
      <c r="M5" s="918"/>
      <c r="N5" s="919"/>
      <c r="O5" s="780"/>
    </row>
    <row r="6" ht="20.25" customHeight="1" s="86" customFormat="1">
      <c r="A6" s="251" t="s">
        <v>2146</v>
      </c>
      <c r="B6" s="560" t="s">
        <v>3110</v>
      </c>
      <c r="C6" s="912" t="s">
        <v>2149</v>
      </c>
      <c r="D6" s="913"/>
      <c r="E6" s="199" t="s">
        <v>2150</v>
      </c>
      <c r="F6" s="912" t="s">
        <v>2151</v>
      </c>
      <c r="G6" s="253"/>
      <c r="H6" s="254"/>
      <c r="I6" s="201"/>
      <c r="J6" s="255" t="s">
        <v>2109</v>
      </c>
      <c r="K6" s="250" t="s">
        <v>2116</v>
      </c>
      <c r="L6" s="279" t="s">
        <v>2119</v>
      </c>
      <c r="M6" s="560" t="s">
        <v>2122</v>
      </c>
      <c r="N6" s="252" t="s">
        <v>2128</v>
      </c>
      <c r="O6" s="278"/>
    </row>
    <row r="7" ht="42.75" customHeight="1" s="21" customFormat="1">
      <c r="A7" s="254"/>
      <c r="B7" s="558"/>
      <c r="C7" s="953"/>
      <c r="D7" s="885"/>
      <c r="E7" s="199"/>
      <c r="F7" s="912"/>
      <c r="G7" s="256" t="s">
        <v>2712</v>
      </c>
      <c r="H7" s="256" t="s">
        <v>2713</v>
      </c>
      <c r="I7" s="194" t="s">
        <v>2714</v>
      </c>
      <c r="J7" s="257" t="s">
        <v>2351</v>
      </c>
      <c r="K7" s="222" t="s">
        <v>2715</v>
      </c>
      <c r="L7" s="257" t="s">
        <v>3111</v>
      </c>
      <c r="M7" s="296" t="s">
        <v>2716</v>
      </c>
      <c r="N7" s="222" t="s">
        <v>2717</v>
      </c>
      <c r="O7" s="283" t="s">
        <v>2158</v>
      </c>
    </row>
    <row r="8" ht="18" customHeight="1" s="41" customFormat="1">
      <c r="A8" s="254"/>
      <c r="B8" s="558"/>
      <c r="C8" s="819" t="s">
        <v>2159</v>
      </c>
      <c r="D8" s="819" t="s">
        <v>2160</v>
      </c>
      <c r="E8" s="199" t="s">
        <v>2161</v>
      </c>
      <c r="F8" s="912" t="s">
        <v>2162</v>
      </c>
      <c r="G8" s="251"/>
      <c r="H8" s="251" t="s">
        <v>2368</v>
      </c>
      <c r="I8" s="252" t="s">
        <v>2368</v>
      </c>
      <c r="J8" s="251"/>
      <c r="K8" s="560" t="s">
        <v>2161</v>
      </c>
      <c r="L8" s="251"/>
      <c r="M8" s="560" t="s">
        <v>2161</v>
      </c>
      <c r="N8" s="252"/>
      <c r="O8" s="278"/>
    </row>
    <row r="9" ht="18" customHeight="1" s="91" customFormat="1">
      <c r="A9" s="258"/>
      <c r="B9" s="260"/>
      <c r="C9" s="912"/>
      <c r="D9" s="912"/>
      <c r="E9" s="260"/>
      <c r="F9" s="262"/>
      <c r="G9" s="251" t="s">
        <v>2163</v>
      </c>
      <c r="H9" s="251"/>
      <c r="I9" s="252"/>
      <c r="J9" s="260" t="s">
        <v>2223</v>
      </c>
      <c r="K9" s="261"/>
      <c r="L9" s="262" t="s">
        <v>2223</v>
      </c>
      <c r="M9" s="281"/>
      <c r="N9" s="263" t="s">
        <v>2163</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EC-NAC5" error="室用途（大分類）に不正な値が入力されています。選択項目から選択してください。" type="list" errorStyle="warning">
      <formula1>data!$E$2:$E$11</formula1>
    </dataValidation>
    <dataValidation sqref="D11:D1010" showErrorMessage="1" showInputMessage="1" allowBlank="1" errorTitle="EC-NA6" error="室用途（小分類）に不正な値が入力されています。選択項目から選択してください。" type="list" errorStyle="warning">
      <formula1>INDIRECT(C11)</formula1>
    </dataValidation>
    <dataValidation sqref="G11:G1010" showErrorMessage="1" showInputMessage="1" allowBlank="1" errorTitle="EC-NAC32" error="方位に不正な値が入力されています。選択項目から選択してください。" type="list" errorStyle="warning">
      <formula1>data!$L$2:$L$11</formula1>
    </dataValidation>
    <dataValidation sqref="N11:N1010" showErrorMessage="1" showInputMessage="1" allowBlank="1" errorTitle="EC-NAC52"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3112</v>
      </c>
      <c r="B1" s="17" t="s">
        <v>3113</v>
      </c>
      <c r="C1" s="17" t="s">
        <v>3114</v>
      </c>
      <c r="E1" s="17" t="s">
        <v>3115</v>
      </c>
      <c r="F1" s="17" t="s">
        <v>3116</v>
      </c>
      <c r="G1" s="17" t="s">
        <v>3117</v>
      </c>
      <c r="H1" s="17" t="s">
        <v>3118</v>
      </c>
      <c r="I1" s="17" t="s">
        <v>3119</v>
      </c>
      <c r="J1" s="17" t="s">
        <v>3120</v>
      </c>
      <c r="K1" s="17" t="s">
        <v>3121</v>
      </c>
      <c r="L1" s="17" t="s">
        <v>3122</v>
      </c>
      <c r="M1" s="17" t="s">
        <v>3123</v>
      </c>
      <c r="N1" s="17" t="s">
        <v>3124</v>
      </c>
      <c r="O1" s="17" t="s">
        <v>3125</v>
      </c>
      <c r="P1" s="17" t="s">
        <v>3126</v>
      </c>
      <c r="Q1" s="17" t="s">
        <v>3127</v>
      </c>
      <c r="R1" s="17" t="s">
        <v>3128</v>
      </c>
      <c r="S1" s="17" t="s">
        <v>3129</v>
      </c>
      <c r="T1" s="17" t="s">
        <v>3130</v>
      </c>
      <c r="U1" s="17" t="s">
        <v>3131</v>
      </c>
      <c r="V1" s="17" t="s">
        <v>3132</v>
      </c>
      <c r="W1" s="17" t="s">
        <v>3133</v>
      </c>
      <c r="X1" s="17" t="s">
        <v>3134</v>
      </c>
      <c r="Y1" s="17" t="s">
        <v>3135</v>
      </c>
      <c r="Z1" s="17" t="s">
        <v>3136</v>
      </c>
      <c r="AA1" s="17" t="s">
        <v>3137</v>
      </c>
      <c r="AB1" s="17" t="s">
        <v>3138</v>
      </c>
      <c r="AC1" s="17" t="s">
        <v>3139</v>
      </c>
      <c r="AD1" s="17" t="s">
        <v>3140</v>
      </c>
      <c r="AE1" s="17" t="s">
        <v>3141</v>
      </c>
      <c r="AF1" s="17" t="s">
        <v>3142</v>
      </c>
      <c r="AG1" s="17" t="s">
        <v>3143</v>
      </c>
      <c r="AH1" s="17" t="s">
        <v>3144</v>
      </c>
      <c r="AI1" s="17" t="s">
        <v>3145</v>
      </c>
      <c r="AJ1" s="17" t="s">
        <v>3146</v>
      </c>
    </row>
    <row r="2">
      <c r="A2" s="17" t="s">
        <v>2343</v>
      </c>
      <c r="B2" s="17" t="s">
        <v>3147</v>
      </c>
      <c r="E2" s="17" t="s">
        <v>2167</v>
      </c>
      <c r="F2" s="17" t="s">
        <v>3148</v>
      </c>
      <c r="G2" s="17" t="s">
        <v>2376</v>
      </c>
      <c r="H2" s="17" t="s">
        <v>2343</v>
      </c>
      <c r="I2" s="17" t="s">
        <v>2344</v>
      </c>
      <c r="J2" s="17" t="s">
        <v>3149</v>
      </c>
      <c r="K2" s="17" t="s">
        <v>2541</v>
      </c>
      <c r="L2" s="17" t="s">
        <v>2718</v>
      </c>
      <c r="M2" s="17" t="s">
        <v>2721</v>
      </c>
      <c r="N2" s="17" t="s">
        <v>2729</v>
      </c>
      <c r="O2" s="17" t="s">
        <v>2743</v>
      </c>
      <c r="P2" s="17" t="s">
        <v>2785</v>
      </c>
      <c r="Q2" s="17" t="s">
        <v>3150</v>
      </c>
      <c r="R2" s="17" t="s">
        <v>3151</v>
      </c>
      <c r="S2" s="17" t="s">
        <v>2922</v>
      </c>
      <c r="T2" s="17" t="s">
        <v>2900</v>
      </c>
      <c r="U2" s="17" t="s">
        <v>3152</v>
      </c>
      <c r="V2" s="17" t="s">
        <v>3153</v>
      </c>
      <c r="W2" s="17" t="s">
        <v>2729</v>
      </c>
      <c r="X2" s="17" t="s">
        <v>2729</v>
      </c>
      <c r="Y2" s="17" t="s">
        <v>2729</v>
      </c>
      <c r="Z2" s="17" t="s">
        <v>2729</v>
      </c>
      <c r="AA2" s="17" t="s">
        <v>2729</v>
      </c>
      <c r="AB2" s="17" t="s">
        <v>3065</v>
      </c>
      <c r="AC2" s="17" t="s">
        <v>3154</v>
      </c>
      <c r="AD2" s="17" t="s">
        <v>3155</v>
      </c>
      <c r="AE2" s="17" t="s">
        <v>3156</v>
      </c>
      <c r="AF2" s="17" t="s">
        <v>3157</v>
      </c>
      <c r="AG2" s="17" t="s">
        <v>2718</v>
      </c>
      <c r="AH2" s="17" t="s">
        <v>2194</v>
      </c>
      <c r="AI2" s="17" t="s">
        <v>2923</v>
      </c>
      <c r="AJ2" s="17" t="s">
        <v>3158</v>
      </c>
    </row>
    <row r="3">
      <c r="A3" s="17" t="s">
        <v>2125</v>
      </c>
      <c r="B3" s="17" t="s">
        <v>3159</v>
      </c>
      <c r="C3" s="17" t="s">
        <v>2172</v>
      </c>
      <c r="E3" s="17" t="s">
        <v>3160</v>
      </c>
      <c r="F3" s="17" t="s">
        <v>3161</v>
      </c>
      <c r="G3" s="17" t="s">
        <v>2439</v>
      </c>
      <c r="H3" s="17" t="s">
        <v>2125</v>
      </c>
      <c r="I3" s="17" t="s">
        <v>2346</v>
      </c>
      <c r="J3" s="17" t="s">
        <v>3162</v>
      </c>
      <c r="K3" s="17" t="s">
        <v>2542</v>
      </c>
      <c r="L3" s="17" t="s">
        <v>3163</v>
      </c>
      <c r="M3" s="17" t="s">
        <v>2729</v>
      </c>
      <c r="N3" s="17" t="s">
        <v>3164</v>
      </c>
      <c r="O3" s="17" t="s">
        <v>2744</v>
      </c>
      <c r="P3" s="17" t="s">
        <v>3165</v>
      </c>
      <c r="Q3" s="17" t="s">
        <v>3166</v>
      </c>
      <c r="R3" s="17" t="s">
        <v>3167</v>
      </c>
      <c r="S3" s="17" t="s">
        <v>3166</v>
      </c>
      <c r="T3" s="17" t="s">
        <v>2903</v>
      </c>
      <c r="U3" s="17" t="s">
        <v>3168</v>
      </c>
      <c r="V3" s="17" t="s">
        <v>2232</v>
      </c>
      <c r="W3" s="17" t="s">
        <v>3169</v>
      </c>
      <c r="X3" s="17" t="s">
        <v>3043</v>
      </c>
      <c r="Y3" s="17" t="s">
        <v>3170</v>
      </c>
      <c r="Z3" s="17" t="s">
        <v>3171</v>
      </c>
      <c r="AA3" s="17" t="s">
        <v>3053</v>
      </c>
      <c r="AB3" s="17" t="s">
        <v>3172</v>
      </c>
      <c r="AC3" s="17" t="s">
        <v>3173</v>
      </c>
      <c r="AD3" s="17" t="s">
        <v>3174</v>
      </c>
      <c r="AE3" s="17" t="s">
        <v>3175</v>
      </c>
      <c r="AF3" s="17" t="s">
        <v>3176</v>
      </c>
      <c r="AG3" s="17" t="s">
        <v>2732</v>
      </c>
      <c r="AH3" s="17" t="s">
        <v>2213</v>
      </c>
      <c r="AI3" s="17" t="s">
        <v>3177</v>
      </c>
      <c r="AJ3" s="17" t="s">
        <v>3178</v>
      </c>
    </row>
    <row r="4">
      <c r="A4" s="17" t="s">
        <v>2347</v>
      </c>
      <c r="B4" s="17" t="s">
        <v>2139</v>
      </c>
      <c r="E4" s="17" t="s">
        <v>3179</v>
      </c>
      <c r="F4" s="17" t="s">
        <v>3180</v>
      </c>
      <c r="H4" s="17" t="s">
        <v>2347</v>
      </c>
      <c r="I4" s="17" t="s">
        <v>2348</v>
      </c>
      <c r="J4" s="17" t="s">
        <v>3181</v>
      </c>
      <c r="K4" s="17" t="s">
        <v>2544</v>
      </c>
      <c r="L4" s="17" t="s">
        <v>2732</v>
      </c>
      <c r="N4" s="17" t="s">
        <v>3182</v>
      </c>
      <c r="O4" s="17" t="s">
        <v>2749</v>
      </c>
      <c r="P4" s="17" t="s">
        <v>3183</v>
      </c>
      <c r="R4" s="17" t="s">
        <v>2918</v>
      </c>
      <c r="T4" s="17" t="s">
        <v>3184</v>
      </c>
      <c r="U4" s="17" t="s">
        <v>2729</v>
      </c>
      <c r="V4" s="17" t="s">
        <v>2179</v>
      </c>
      <c r="W4" s="17" t="s">
        <v>3036</v>
      </c>
      <c r="X4" s="17" t="s">
        <v>3185</v>
      </c>
      <c r="Y4" s="17" t="s">
        <v>3036</v>
      </c>
      <c r="Z4" s="17" t="s">
        <v>3186</v>
      </c>
      <c r="AA4" s="17" t="s">
        <v>3187</v>
      </c>
      <c r="AB4" s="17" t="s">
        <v>3188</v>
      </c>
      <c r="AC4" s="17" t="s">
        <v>3189</v>
      </c>
      <c r="AD4" s="17" t="s">
        <v>3190</v>
      </c>
      <c r="AF4" s="17" t="s">
        <v>3191</v>
      </c>
      <c r="AG4" s="17" t="s">
        <v>2735</v>
      </c>
      <c r="AH4" s="17" t="s">
        <v>2168</v>
      </c>
      <c r="AI4" s="17" t="s">
        <v>2927</v>
      </c>
    </row>
    <row r="5">
      <c r="A5" s="17" t="s">
        <v>2349</v>
      </c>
      <c r="B5" s="17" t="s">
        <v>3192</v>
      </c>
      <c r="E5" s="17" t="s">
        <v>3193</v>
      </c>
      <c r="F5" s="17" t="s">
        <v>3194</v>
      </c>
      <c r="H5" s="17" t="s">
        <v>2349</v>
      </c>
      <c r="I5" s="17" t="s">
        <v>2350</v>
      </c>
      <c r="J5" s="17" t="s">
        <v>3195</v>
      </c>
      <c r="K5" s="17" t="s">
        <v>2546</v>
      </c>
      <c r="L5" s="17" t="s">
        <v>3196</v>
      </c>
      <c r="N5" s="17" t="s">
        <v>3197</v>
      </c>
      <c r="O5" s="17" t="s">
        <v>2751</v>
      </c>
      <c r="P5" s="17" t="s">
        <v>3198</v>
      </c>
      <c r="R5" s="17" t="s">
        <v>2925</v>
      </c>
      <c r="T5" s="17" t="s">
        <v>3098</v>
      </c>
      <c r="V5" s="17" t="s">
        <v>3191</v>
      </c>
      <c r="W5" s="17" t="s">
        <v>3170</v>
      </c>
      <c r="X5" s="17" t="s">
        <v>3199</v>
      </c>
      <c r="Z5" s="17" t="s">
        <v>3200</v>
      </c>
      <c r="AB5" s="17" t="s">
        <v>3201</v>
      </c>
      <c r="AC5" s="17" t="s">
        <v>3202</v>
      </c>
      <c r="AD5" s="17" t="s">
        <v>3079</v>
      </c>
      <c r="AG5" s="17" t="s">
        <v>2722</v>
      </c>
      <c r="AH5" s="17" t="s">
        <v>2217</v>
      </c>
    </row>
    <row r="6">
      <c r="A6" s="17" t="s">
        <v>2920</v>
      </c>
      <c r="B6" s="17" t="s">
        <v>3203</v>
      </c>
      <c r="E6" s="17" t="s">
        <v>3204</v>
      </c>
      <c r="F6" s="17" t="s">
        <v>3205</v>
      </c>
      <c r="H6" s="17" t="s">
        <v>2359</v>
      </c>
      <c r="I6" s="17" t="s">
        <v>2360</v>
      </c>
      <c r="J6" s="17" t="s">
        <v>3206</v>
      </c>
      <c r="K6" s="17" t="s">
        <v>2549</v>
      </c>
      <c r="L6" s="17" t="s">
        <v>2735</v>
      </c>
      <c r="N6" s="17" t="s">
        <v>3207</v>
      </c>
      <c r="O6" s="17" t="s">
        <v>2755</v>
      </c>
      <c r="P6" s="17" t="s">
        <v>3208</v>
      </c>
      <c r="R6" s="17" t="s">
        <v>2994</v>
      </c>
      <c r="X6" s="17" t="s">
        <v>3209</v>
      </c>
      <c r="Z6" s="17" t="s">
        <v>3210</v>
      </c>
      <c r="AB6" s="17" t="s">
        <v>3211</v>
      </c>
      <c r="AC6" s="17" t="s">
        <v>3212</v>
      </c>
      <c r="AD6" s="17" t="s">
        <v>3213</v>
      </c>
      <c r="AG6" s="17" t="s">
        <v>3214</v>
      </c>
      <c r="AH6" s="17" t="s">
        <v>2218</v>
      </c>
    </row>
    <row r="7">
      <c r="A7" s="17" t="s">
        <v>2118</v>
      </c>
      <c r="E7" s="17" t="s">
        <v>3215</v>
      </c>
      <c r="F7" s="17" t="s">
        <v>3216</v>
      </c>
      <c r="H7" s="17" t="s">
        <v>2361</v>
      </c>
      <c r="I7" s="17" t="s">
        <v>2362</v>
      </c>
      <c r="J7" s="17" t="s">
        <v>3217</v>
      </c>
      <c r="K7" s="17" t="s">
        <v>2550</v>
      </c>
      <c r="L7" s="17" t="s">
        <v>3218</v>
      </c>
      <c r="O7" s="17" t="s">
        <v>2772</v>
      </c>
      <c r="P7" s="17" t="s">
        <v>3219</v>
      </c>
      <c r="R7" s="17" t="s">
        <v>3220</v>
      </c>
      <c r="X7" s="17" t="s">
        <v>3221</v>
      </c>
      <c r="AB7" s="17" t="s">
        <v>3222</v>
      </c>
      <c r="AC7" s="17" t="s">
        <v>3067</v>
      </c>
      <c r="AH7" s="17" t="s">
        <v>2222</v>
      </c>
    </row>
    <row r="8">
      <c r="A8" s="17" t="s">
        <v>3223</v>
      </c>
      <c r="E8" s="17" t="s">
        <v>3224</v>
      </c>
      <c r="F8" s="17" t="s">
        <v>3225</v>
      </c>
      <c r="H8" s="17" t="s">
        <v>2363</v>
      </c>
      <c r="I8" s="17" t="s">
        <v>2364</v>
      </c>
      <c r="J8" s="17" t="s">
        <v>2562</v>
      </c>
      <c r="K8" s="17" t="s">
        <v>2554</v>
      </c>
      <c r="L8" s="17" t="s">
        <v>2722</v>
      </c>
      <c r="O8" s="17" t="s">
        <v>2774</v>
      </c>
      <c r="P8" s="17" t="s">
        <v>3226</v>
      </c>
      <c r="R8" s="17" t="s">
        <v>3227</v>
      </c>
      <c r="X8" s="17" t="s">
        <v>3228</v>
      </c>
      <c r="AB8" s="17" t="s">
        <v>3229</v>
      </c>
      <c r="AC8" s="17" t="s">
        <v>3230</v>
      </c>
      <c r="AH8" s="17" t="s">
        <v>2198</v>
      </c>
    </row>
    <row r="9">
      <c r="A9" s="17" t="s">
        <v>3231</v>
      </c>
      <c r="E9" s="17" t="s">
        <v>3232</v>
      </c>
      <c r="F9" s="17" t="s">
        <v>3233</v>
      </c>
      <c r="H9" s="17" t="s">
        <v>2369</v>
      </c>
      <c r="I9" s="17" t="s">
        <v>2370</v>
      </c>
      <c r="J9" s="17" t="s">
        <v>3234</v>
      </c>
      <c r="K9" s="17" t="s">
        <v>2556</v>
      </c>
      <c r="L9" s="17" t="s">
        <v>3235</v>
      </c>
      <c r="O9" s="17" t="s">
        <v>2780</v>
      </c>
      <c r="P9" s="17" t="s">
        <v>3236</v>
      </c>
      <c r="X9" s="17" t="s">
        <v>3237</v>
      </c>
      <c r="AC9" s="17" t="s">
        <v>3238</v>
      </c>
      <c r="AH9" s="17" t="s">
        <v>2187</v>
      </c>
    </row>
    <row r="10">
      <c r="E10" s="17" t="s">
        <v>3239</v>
      </c>
      <c r="F10" s="17" t="s">
        <v>3240</v>
      </c>
      <c r="H10" s="17" t="s">
        <v>2371</v>
      </c>
      <c r="I10" s="17" t="s">
        <v>2372</v>
      </c>
      <c r="J10" s="17" t="s">
        <v>3241</v>
      </c>
      <c r="K10" s="17" t="s">
        <v>2559</v>
      </c>
      <c r="L10" s="17" t="s">
        <v>2738</v>
      </c>
      <c r="O10" s="17" t="s">
        <v>2781</v>
      </c>
      <c r="P10" s="17" t="s">
        <v>3242</v>
      </c>
      <c r="X10" s="17" t="s">
        <v>3243</v>
      </c>
      <c r="AH10" s="17" t="s">
        <v>2190</v>
      </c>
    </row>
    <row r="11">
      <c r="E11" s="17" t="s">
        <v>3244</v>
      </c>
      <c r="F11" s="17" t="s">
        <v>3245</v>
      </c>
      <c r="H11" s="17" t="s">
        <v>2373</v>
      </c>
      <c r="I11" s="17" t="s">
        <v>2374</v>
      </c>
      <c r="J11" s="17" t="s">
        <v>3246</v>
      </c>
      <c r="K11" s="17" t="s">
        <v>2560</v>
      </c>
      <c r="L11" s="17" t="s">
        <v>2725</v>
      </c>
      <c r="O11" s="17" t="s">
        <v>2782</v>
      </c>
      <c r="P11" s="17" t="s">
        <v>3247</v>
      </c>
      <c r="X11" s="17" t="s">
        <v>3036</v>
      </c>
      <c r="AH11" s="17" t="s">
        <v>2175</v>
      </c>
    </row>
    <row r="12">
      <c r="F12" s="17" t="s">
        <v>3248</v>
      </c>
      <c r="H12" s="17" t="s">
        <v>2378</v>
      </c>
      <c r="I12" s="17" t="s">
        <v>2379</v>
      </c>
      <c r="K12" s="17" t="s">
        <v>2564</v>
      </c>
      <c r="O12" s="17" t="s">
        <v>2790</v>
      </c>
      <c r="AH12" s="17" t="s">
        <v>2225</v>
      </c>
    </row>
    <row r="13">
      <c r="F13" s="17" t="s">
        <v>3249</v>
      </c>
      <c r="H13" s="17" t="s">
        <v>2383</v>
      </c>
      <c r="I13" s="17" t="s">
        <v>2384</v>
      </c>
      <c r="K13" s="17" t="s">
        <v>2565</v>
      </c>
      <c r="O13" s="17" t="s">
        <v>2795</v>
      </c>
      <c r="AH13" s="17" t="s">
        <v>2227</v>
      </c>
    </row>
    <row r="14">
      <c r="F14" s="17" t="s">
        <v>3250</v>
      </c>
      <c r="H14" s="17" t="s">
        <v>2388</v>
      </c>
      <c r="I14" s="17" t="s">
        <v>2389</v>
      </c>
      <c r="K14" s="17" t="s">
        <v>2566</v>
      </c>
      <c r="O14" s="17" t="s">
        <v>2796</v>
      </c>
      <c r="AH14" s="17" t="s">
        <v>2229</v>
      </c>
    </row>
    <row r="15">
      <c r="F15" s="17" t="s">
        <v>3251</v>
      </c>
      <c r="H15" s="17" t="s">
        <v>2393</v>
      </c>
      <c r="I15" s="17" t="s">
        <v>2394</v>
      </c>
      <c r="K15" s="17" t="s">
        <v>2567</v>
      </c>
      <c r="O15" s="17" t="s">
        <v>2797</v>
      </c>
      <c r="AH15" s="17" t="s">
        <v>2179</v>
      </c>
    </row>
    <row r="16">
      <c r="F16" s="17" t="s">
        <v>3252</v>
      </c>
      <c r="H16" s="17" t="s">
        <v>2396</v>
      </c>
      <c r="I16" s="17" t="s">
        <v>2397</v>
      </c>
      <c r="K16" s="17" t="s">
        <v>2568</v>
      </c>
      <c r="O16" s="17" t="s">
        <v>2798</v>
      </c>
      <c r="AH16" s="17" t="s">
        <v>2232</v>
      </c>
    </row>
    <row r="17">
      <c r="F17" s="17" t="s">
        <v>3253</v>
      </c>
      <c r="H17" s="17" t="s">
        <v>2380</v>
      </c>
      <c r="I17" s="17" t="s">
        <v>2381</v>
      </c>
      <c r="K17" s="17" t="s">
        <v>2569</v>
      </c>
      <c r="O17" s="17" t="s">
        <v>2799</v>
      </c>
      <c r="AH17" s="17" t="s">
        <v>2184</v>
      </c>
    </row>
    <row r="18">
      <c r="F18" s="17" t="s">
        <v>3254</v>
      </c>
      <c r="H18" s="17" t="s">
        <v>2401</v>
      </c>
      <c r="I18" s="17" t="s">
        <v>2402</v>
      </c>
      <c r="K18" s="17" t="s">
        <v>2570</v>
      </c>
      <c r="O18" s="17" t="s">
        <v>2800</v>
      </c>
      <c r="AH18" s="17" t="s">
        <v>2233</v>
      </c>
    </row>
    <row r="19">
      <c r="F19" s="17" t="s">
        <v>3255</v>
      </c>
      <c r="H19" s="17" t="s">
        <v>2403</v>
      </c>
      <c r="I19" s="17" t="s">
        <v>2404</v>
      </c>
      <c r="K19" s="17" t="s">
        <v>2571</v>
      </c>
      <c r="O19" s="17" t="s">
        <v>2801</v>
      </c>
      <c r="AH19" s="17" t="s">
        <v>2234</v>
      </c>
    </row>
    <row r="20">
      <c r="F20" s="17" t="s">
        <v>3256</v>
      </c>
      <c r="H20" s="17" t="s">
        <v>2405</v>
      </c>
      <c r="I20" s="17" t="s">
        <v>2406</v>
      </c>
      <c r="K20" s="17" t="s">
        <v>2572</v>
      </c>
      <c r="O20" s="17" t="s">
        <v>2802</v>
      </c>
      <c r="AH20" s="17" t="s">
        <v>2235</v>
      </c>
    </row>
    <row r="21">
      <c r="F21" s="17" t="s">
        <v>3257</v>
      </c>
      <c r="H21" s="17" t="s">
        <v>2407</v>
      </c>
      <c r="I21" s="17" t="s">
        <v>2408</v>
      </c>
      <c r="K21" s="17" t="s">
        <v>2573</v>
      </c>
      <c r="O21" s="17" t="s">
        <v>2803</v>
      </c>
      <c r="AH21" s="17" t="s">
        <v>2236</v>
      </c>
    </row>
    <row r="22">
      <c r="F22" s="17" t="s">
        <v>3258</v>
      </c>
      <c r="H22" s="17" t="s">
        <v>2398</v>
      </c>
      <c r="I22" s="17" t="s">
        <v>2399</v>
      </c>
      <c r="K22" s="17" t="s">
        <v>2574</v>
      </c>
      <c r="O22" s="17" t="s">
        <v>2804</v>
      </c>
      <c r="AH22" s="17" t="s">
        <v>2237</v>
      </c>
    </row>
    <row r="23">
      <c r="F23" s="17" t="s">
        <v>3259</v>
      </c>
      <c r="H23" s="17" t="s">
        <v>2411</v>
      </c>
      <c r="I23" s="17" t="s">
        <v>2412</v>
      </c>
      <c r="K23" s="17" t="s">
        <v>2575</v>
      </c>
      <c r="O23" s="17" t="s">
        <v>2805</v>
      </c>
      <c r="AH23" s="17" t="s">
        <v>2238</v>
      </c>
    </row>
    <row r="24">
      <c r="F24" s="17" t="s">
        <v>3260</v>
      </c>
      <c r="H24" s="17" t="s">
        <v>2415</v>
      </c>
      <c r="I24" s="17" t="s">
        <v>2416</v>
      </c>
      <c r="K24" s="17" t="s">
        <v>2576</v>
      </c>
      <c r="O24" s="17" t="s">
        <v>2806</v>
      </c>
      <c r="AH24" s="17" t="s">
        <v>2239</v>
      </c>
    </row>
    <row r="25">
      <c r="F25" s="17" t="s">
        <v>3261</v>
      </c>
      <c r="H25" s="17" t="s">
        <v>2413</v>
      </c>
      <c r="I25" s="17" t="s">
        <v>2414</v>
      </c>
      <c r="K25" s="17" t="s">
        <v>2577</v>
      </c>
      <c r="O25" s="17" t="s">
        <v>2807</v>
      </c>
      <c r="AH25" s="17" t="s">
        <v>2240</v>
      </c>
    </row>
    <row r="26">
      <c r="F26" s="17" t="s">
        <v>3262</v>
      </c>
      <c r="H26" s="17" t="s">
        <v>2417</v>
      </c>
      <c r="I26" s="17" t="s">
        <v>2418</v>
      </c>
      <c r="K26" s="17" t="s">
        <v>2578</v>
      </c>
      <c r="O26" s="17" t="s">
        <v>2808</v>
      </c>
      <c r="AH26" s="17" t="s">
        <v>2241</v>
      </c>
    </row>
    <row r="27">
      <c r="F27" s="17" t="s">
        <v>3263</v>
      </c>
      <c r="H27" s="17" t="s">
        <v>2420</v>
      </c>
      <c r="I27" s="17" t="s">
        <v>2421</v>
      </c>
      <c r="K27" s="17" t="s">
        <v>2579</v>
      </c>
      <c r="O27" s="17" t="s">
        <v>2809</v>
      </c>
      <c r="AH27" s="17" t="s">
        <v>2242</v>
      </c>
    </row>
    <row r="28">
      <c r="H28" s="17" t="s">
        <v>2423</v>
      </c>
      <c r="I28" s="17" t="s">
        <v>2424</v>
      </c>
      <c r="K28" s="17" t="s">
        <v>2580</v>
      </c>
      <c r="O28" s="17" t="s">
        <v>2810</v>
      </c>
      <c r="AH28" s="17" t="s">
        <v>2243</v>
      </c>
    </row>
    <row r="29">
      <c r="H29" s="17" t="s">
        <v>2427</v>
      </c>
      <c r="I29" s="17" t="s">
        <v>2428</v>
      </c>
      <c r="K29" s="17" t="s">
        <v>2581</v>
      </c>
      <c r="O29" s="17" t="s">
        <v>2811</v>
      </c>
      <c r="AH29" s="17" t="s">
        <v>2244</v>
      </c>
    </row>
    <row r="30">
      <c r="H30" s="17" t="s">
        <v>2431</v>
      </c>
      <c r="I30" s="17" t="s">
        <v>2432</v>
      </c>
      <c r="K30" s="17" t="s">
        <v>2582</v>
      </c>
      <c r="O30" s="17" t="s">
        <v>2812</v>
      </c>
      <c r="AH30" s="17" t="s">
        <v>2245</v>
      </c>
    </row>
    <row r="31">
      <c r="H31" s="17" t="s">
        <v>2433</v>
      </c>
      <c r="I31" s="17" t="s">
        <v>2434</v>
      </c>
      <c r="K31" s="17" t="s">
        <v>2583</v>
      </c>
      <c r="O31" s="17" t="s">
        <v>2813</v>
      </c>
      <c r="AH31" s="17" t="s">
        <v>2168</v>
      </c>
    </row>
    <row r="32">
      <c r="H32" s="17" t="s">
        <v>2435</v>
      </c>
      <c r="I32" s="17" t="s">
        <v>2436</v>
      </c>
      <c r="K32" s="17" t="s">
        <v>2584</v>
      </c>
      <c r="O32" s="17" t="s">
        <v>2814</v>
      </c>
      <c r="AH32" s="17" t="s">
        <v>2246</v>
      </c>
    </row>
    <row r="33">
      <c r="H33" s="17" t="s">
        <v>2429</v>
      </c>
      <c r="I33" s="17" t="s">
        <v>2437</v>
      </c>
      <c r="K33" s="17" t="s">
        <v>2585</v>
      </c>
      <c r="O33" s="17" t="s">
        <v>2815</v>
      </c>
      <c r="AH33" s="17" t="s">
        <v>2247</v>
      </c>
    </row>
    <row r="34">
      <c r="H34" s="17" t="s">
        <v>2440</v>
      </c>
      <c r="I34" s="17" t="s">
        <v>2441</v>
      </c>
      <c r="K34" s="17" t="s">
        <v>2586</v>
      </c>
      <c r="O34" s="17" t="s">
        <v>2816</v>
      </c>
      <c r="AH34" s="17" t="s">
        <v>2248</v>
      </c>
    </row>
    <row r="35">
      <c r="H35" s="17" t="s">
        <v>2444</v>
      </c>
      <c r="I35" s="17" t="s">
        <v>2445</v>
      </c>
      <c r="K35" s="17" t="s">
        <v>2587</v>
      </c>
      <c r="O35" s="17" t="s">
        <v>2817</v>
      </c>
      <c r="AH35" s="17" t="s">
        <v>2249</v>
      </c>
    </row>
    <row r="36">
      <c r="H36" s="17" t="s">
        <v>2446</v>
      </c>
      <c r="I36" s="17" t="s">
        <v>2447</v>
      </c>
      <c r="K36" s="17" t="s">
        <v>2588</v>
      </c>
      <c r="O36" s="17" t="s">
        <v>2818</v>
      </c>
      <c r="AH36" s="17" t="s">
        <v>2250</v>
      </c>
    </row>
    <row r="37">
      <c r="H37" s="17" t="s">
        <v>2448</v>
      </c>
      <c r="I37" s="17" t="s">
        <v>2449</v>
      </c>
      <c r="K37" s="17" t="s">
        <v>2589</v>
      </c>
      <c r="O37" s="17" t="s">
        <v>2819</v>
      </c>
      <c r="AH37" s="17" t="s">
        <v>2218</v>
      </c>
    </row>
    <row r="38">
      <c r="H38" s="17" t="s">
        <v>2451</v>
      </c>
      <c r="I38" s="17" t="s">
        <v>2452</v>
      </c>
      <c r="K38" s="17" t="s">
        <v>2590</v>
      </c>
      <c r="O38" s="17" t="s">
        <v>2820</v>
      </c>
      <c r="AH38" s="17" t="s">
        <v>2198</v>
      </c>
    </row>
    <row r="39">
      <c r="H39" s="17" t="s">
        <v>2453</v>
      </c>
      <c r="I39" s="17" t="s">
        <v>2454</v>
      </c>
      <c r="K39" s="17" t="s">
        <v>2591</v>
      </c>
      <c r="O39" s="17" t="s">
        <v>2821</v>
      </c>
      <c r="AH39" s="17" t="s">
        <v>2251</v>
      </c>
    </row>
    <row r="40">
      <c r="H40" s="17" t="s">
        <v>2455</v>
      </c>
      <c r="I40" s="17" t="s">
        <v>2456</v>
      </c>
      <c r="K40" s="17" t="s">
        <v>2592</v>
      </c>
      <c r="O40" s="17" t="s">
        <v>2822</v>
      </c>
      <c r="AH40" s="17" t="s">
        <v>2252</v>
      </c>
    </row>
    <row r="41">
      <c r="H41" s="17" t="s">
        <v>2425</v>
      </c>
      <c r="I41" s="17" t="s">
        <v>2426</v>
      </c>
      <c r="K41" s="17" t="s">
        <v>2593</v>
      </c>
      <c r="O41" s="17" t="s">
        <v>2823</v>
      </c>
      <c r="AH41" s="17" t="s">
        <v>2253</v>
      </c>
    </row>
    <row r="42">
      <c r="H42" s="17" t="s">
        <v>2457</v>
      </c>
      <c r="I42" s="17" t="s">
        <v>2458</v>
      </c>
      <c r="K42" s="17" t="s">
        <v>2594</v>
      </c>
      <c r="O42" s="17" t="s">
        <v>2824</v>
      </c>
      <c r="AH42" s="17" t="s">
        <v>2254</v>
      </c>
    </row>
    <row r="43">
      <c r="H43" s="17" t="s">
        <v>2459</v>
      </c>
      <c r="I43" s="17" t="s">
        <v>2460</v>
      </c>
      <c r="K43" s="17" t="s">
        <v>2595</v>
      </c>
      <c r="O43" s="17" t="s">
        <v>2825</v>
      </c>
      <c r="AH43" s="17" t="s">
        <v>2255</v>
      </c>
    </row>
    <row r="44">
      <c r="H44" s="17" t="s">
        <v>2461</v>
      </c>
      <c r="I44" s="17" t="s">
        <v>2462</v>
      </c>
      <c r="K44" s="17" t="s">
        <v>2596</v>
      </c>
      <c r="O44" s="17" t="s">
        <v>2826</v>
      </c>
      <c r="AH44" s="17" t="s">
        <v>2256</v>
      </c>
    </row>
    <row r="45">
      <c r="H45" s="17" t="s">
        <v>2442</v>
      </c>
      <c r="I45" s="17" t="s">
        <v>2443</v>
      </c>
      <c r="K45" s="17" t="s">
        <v>2597</v>
      </c>
      <c r="O45" s="17" t="s">
        <v>2827</v>
      </c>
      <c r="AH45" s="17" t="s">
        <v>2227</v>
      </c>
    </row>
    <row r="46">
      <c r="H46" s="17" t="s">
        <v>2463</v>
      </c>
      <c r="I46" s="17" t="s">
        <v>2464</v>
      </c>
      <c r="K46" s="17" t="s">
        <v>2598</v>
      </c>
      <c r="O46" s="17" t="s">
        <v>2828</v>
      </c>
      <c r="AH46" s="17" t="s">
        <v>2229</v>
      </c>
    </row>
    <row r="47">
      <c r="H47" s="17" t="s">
        <v>2465</v>
      </c>
      <c r="I47" s="17" t="s">
        <v>2466</v>
      </c>
      <c r="K47" s="17" t="s">
        <v>2599</v>
      </c>
      <c r="O47" s="17" t="s">
        <v>2829</v>
      </c>
      <c r="AH47" s="17" t="s">
        <v>2179</v>
      </c>
    </row>
    <row r="48">
      <c r="H48" s="17" t="s">
        <v>2467</v>
      </c>
      <c r="I48" s="17" t="s">
        <v>2468</v>
      </c>
      <c r="K48" s="17" t="s">
        <v>2600</v>
      </c>
      <c r="O48" s="17" t="s">
        <v>2830</v>
      </c>
      <c r="AH48" s="17" t="s">
        <v>2232</v>
      </c>
    </row>
    <row r="49">
      <c r="H49" s="17" t="s">
        <v>2469</v>
      </c>
      <c r="I49" s="17" t="s">
        <v>2470</v>
      </c>
      <c r="K49" s="17" t="s">
        <v>2601</v>
      </c>
      <c r="O49" s="17" t="s">
        <v>2831</v>
      </c>
      <c r="AH49" s="17" t="s">
        <v>2184</v>
      </c>
    </row>
    <row r="50">
      <c r="H50" s="17" t="s">
        <v>2471</v>
      </c>
      <c r="I50" s="17" t="s">
        <v>2472</v>
      </c>
      <c r="K50" s="17" t="s">
        <v>2602</v>
      </c>
      <c r="O50" s="17" t="s">
        <v>2832</v>
      </c>
      <c r="AH50" s="17" t="s">
        <v>2233</v>
      </c>
    </row>
    <row r="51">
      <c r="H51" s="17" t="s">
        <v>2473</v>
      </c>
      <c r="I51" s="17" t="s">
        <v>2474</v>
      </c>
      <c r="K51" s="17" t="s">
        <v>2603</v>
      </c>
      <c r="O51" s="17" t="s">
        <v>2833</v>
      </c>
      <c r="AH51" s="17" t="s">
        <v>2234</v>
      </c>
    </row>
    <row r="52">
      <c r="H52" s="17" t="s">
        <v>2475</v>
      </c>
      <c r="I52" s="17" t="s">
        <v>2476</v>
      </c>
      <c r="K52" s="17" t="s">
        <v>2604</v>
      </c>
      <c r="O52" s="17" t="s">
        <v>2834</v>
      </c>
      <c r="AH52" s="17" t="s">
        <v>2235</v>
      </c>
    </row>
    <row r="53">
      <c r="H53" s="17" t="s">
        <v>2477</v>
      </c>
      <c r="I53" s="17" t="s">
        <v>2478</v>
      </c>
      <c r="K53" s="17" t="s">
        <v>2605</v>
      </c>
      <c r="O53" s="17" t="s">
        <v>2835</v>
      </c>
      <c r="AH53" s="17" t="s">
        <v>2236</v>
      </c>
    </row>
    <row r="54">
      <c r="H54" s="17" t="s">
        <v>2479</v>
      </c>
      <c r="I54" s="17" t="s">
        <v>2480</v>
      </c>
      <c r="K54" s="17" t="s">
        <v>2606</v>
      </c>
      <c r="O54" s="17" t="s">
        <v>2836</v>
      </c>
      <c r="AH54" s="17" t="s">
        <v>2257</v>
      </c>
    </row>
    <row r="55">
      <c r="H55" s="17" t="s">
        <v>2481</v>
      </c>
      <c r="I55" s="17" t="s">
        <v>2482</v>
      </c>
      <c r="K55" s="17" t="s">
        <v>2607</v>
      </c>
      <c r="O55" s="17" t="s">
        <v>2837</v>
      </c>
      <c r="AH55" s="17" t="s">
        <v>2258</v>
      </c>
    </row>
    <row r="56">
      <c r="H56" s="17" t="s">
        <v>2483</v>
      </c>
      <c r="I56" s="17" t="s">
        <v>2484</v>
      </c>
      <c r="K56" s="17" t="s">
        <v>2608</v>
      </c>
      <c r="O56" s="17" t="s">
        <v>2838</v>
      </c>
      <c r="AH56" s="17" t="s">
        <v>2259</v>
      </c>
    </row>
    <row r="57">
      <c r="H57" s="17" t="s">
        <v>2485</v>
      </c>
      <c r="I57" s="17" t="s">
        <v>2486</v>
      </c>
      <c r="K57" s="17" t="s">
        <v>2609</v>
      </c>
      <c r="O57" s="17" t="s">
        <v>2839</v>
      </c>
      <c r="AH57" s="17" t="s">
        <v>2241</v>
      </c>
    </row>
    <row r="58">
      <c r="H58" s="17" t="s">
        <v>2487</v>
      </c>
      <c r="I58" s="17" t="s">
        <v>2488</v>
      </c>
      <c r="K58" s="17" t="s">
        <v>2610</v>
      </c>
      <c r="O58" s="17" t="s">
        <v>2840</v>
      </c>
      <c r="AH58" s="17" t="s">
        <v>2242</v>
      </c>
    </row>
    <row r="59">
      <c r="H59" s="17" t="s">
        <v>2489</v>
      </c>
      <c r="I59" s="17" t="s">
        <v>2490</v>
      </c>
      <c r="K59" s="17" t="s">
        <v>2611</v>
      </c>
      <c r="O59" s="17" t="s">
        <v>2841</v>
      </c>
      <c r="AH59" s="17" t="s">
        <v>2243</v>
      </c>
    </row>
    <row r="60">
      <c r="H60" s="17" t="s">
        <v>2491</v>
      </c>
      <c r="I60" s="17" t="s">
        <v>2492</v>
      </c>
      <c r="K60" s="17" t="s">
        <v>2612</v>
      </c>
      <c r="O60" s="17" t="s">
        <v>2842</v>
      </c>
      <c r="AH60" s="17" t="s">
        <v>2244</v>
      </c>
    </row>
    <row r="61">
      <c r="H61" s="17" t="s">
        <v>2493</v>
      </c>
      <c r="I61" s="17" t="s">
        <v>2494</v>
      </c>
      <c r="K61" s="17" t="s">
        <v>2613</v>
      </c>
      <c r="O61" s="17" t="s">
        <v>2784</v>
      </c>
      <c r="AH61" s="17" t="s">
        <v>2260</v>
      </c>
    </row>
    <row r="62">
      <c r="H62" s="17" t="s">
        <v>2495</v>
      </c>
      <c r="I62" s="17" t="s">
        <v>2496</v>
      </c>
      <c r="K62" s="17" t="s">
        <v>2614</v>
      </c>
      <c r="O62" s="17" t="s">
        <v>2843</v>
      </c>
      <c r="AH62" s="17" t="s">
        <v>2261</v>
      </c>
    </row>
    <row r="63">
      <c r="H63" s="17" t="s">
        <v>2497</v>
      </c>
      <c r="I63" s="17" t="s">
        <v>2498</v>
      </c>
      <c r="K63" s="17" t="s">
        <v>2615</v>
      </c>
      <c r="O63" s="17" t="s">
        <v>2844</v>
      </c>
      <c r="AH63" s="17" t="s">
        <v>2262</v>
      </c>
    </row>
    <row r="64">
      <c r="H64" s="17" t="s">
        <v>2499</v>
      </c>
      <c r="I64" s="17" t="s">
        <v>2500</v>
      </c>
      <c r="K64" s="17" t="s">
        <v>2616</v>
      </c>
      <c r="O64" s="17" t="s">
        <v>2845</v>
      </c>
      <c r="AH64" s="17" t="s">
        <v>2263</v>
      </c>
    </row>
    <row r="65">
      <c r="H65" s="17" t="s">
        <v>2501</v>
      </c>
      <c r="I65" s="17" t="s">
        <v>2502</v>
      </c>
      <c r="K65" s="17" t="s">
        <v>2617</v>
      </c>
      <c r="O65" s="17" t="s">
        <v>2846</v>
      </c>
      <c r="AH65" s="17" t="s">
        <v>2264</v>
      </c>
    </row>
    <row r="66">
      <c r="H66" s="17" t="s">
        <v>2503</v>
      </c>
      <c r="I66" s="17" t="s">
        <v>2504</v>
      </c>
      <c r="K66" s="17" t="s">
        <v>2618</v>
      </c>
      <c r="O66" s="17" t="s">
        <v>2847</v>
      </c>
      <c r="AH66" s="17" t="s">
        <v>2265</v>
      </c>
    </row>
    <row r="67">
      <c r="H67" s="17" t="s">
        <v>2505</v>
      </c>
      <c r="I67" s="17" t="s">
        <v>2506</v>
      </c>
      <c r="K67" s="17" t="s">
        <v>2619</v>
      </c>
      <c r="O67" s="17" t="s">
        <v>2848</v>
      </c>
      <c r="AH67" s="17" t="s">
        <v>2247</v>
      </c>
    </row>
    <row r="68">
      <c r="H68" s="17" t="s">
        <v>2507</v>
      </c>
      <c r="I68" s="17" t="s">
        <v>2508</v>
      </c>
      <c r="K68" s="17" t="s">
        <v>2620</v>
      </c>
      <c r="O68" s="17" t="s">
        <v>2849</v>
      </c>
      <c r="AH68" s="17" t="s">
        <v>2194</v>
      </c>
    </row>
    <row r="69">
      <c r="H69" s="17" t="s">
        <v>2390</v>
      </c>
      <c r="I69" s="17" t="s">
        <v>2391</v>
      </c>
      <c r="K69" s="17" t="s">
        <v>2621</v>
      </c>
      <c r="O69" s="17" t="s">
        <v>2850</v>
      </c>
      <c r="AH69" s="17" t="s">
        <v>2198</v>
      </c>
    </row>
    <row r="70">
      <c r="H70" s="17" t="s">
        <v>2509</v>
      </c>
      <c r="I70" s="17" t="s">
        <v>2510</v>
      </c>
      <c r="K70" s="17" t="s">
        <v>2622</v>
      </c>
      <c r="O70" s="17" t="s">
        <v>2851</v>
      </c>
      <c r="AH70" s="17" t="s">
        <v>2253</v>
      </c>
    </row>
    <row r="71">
      <c r="H71" s="17" t="s">
        <v>2511</v>
      </c>
      <c r="I71" s="17" t="s">
        <v>2512</v>
      </c>
      <c r="K71" s="17" t="s">
        <v>2623</v>
      </c>
      <c r="O71" s="17" t="s">
        <v>2852</v>
      </c>
      <c r="AH71" s="17" t="s">
        <v>2254</v>
      </c>
    </row>
    <row r="72">
      <c r="H72" s="17" t="s">
        <v>2513</v>
      </c>
      <c r="I72" s="17" t="s">
        <v>2514</v>
      </c>
      <c r="K72" s="17" t="s">
        <v>2624</v>
      </c>
      <c r="O72" s="17" t="s">
        <v>2853</v>
      </c>
      <c r="AH72" s="17" t="s">
        <v>2255</v>
      </c>
    </row>
    <row r="73">
      <c r="H73" s="17" t="s">
        <v>2515</v>
      </c>
      <c r="I73" s="17" t="s">
        <v>2516</v>
      </c>
      <c r="K73" s="17" t="s">
        <v>2625</v>
      </c>
      <c r="O73" s="17" t="s">
        <v>2854</v>
      </c>
      <c r="AH73" s="17" t="s">
        <v>2256</v>
      </c>
    </row>
    <row r="74">
      <c r="H74" s="17" t="s">
        <v>2517</v>
      </c>
      <c r="I74" s="17" t="s">
        <v>2518</v>
      </c>
      <c r="K74" s="17" t="s">
        <v>2626</v>
      </c>
      <c r="O74" s="17" t="s">
        <v>2855</v>
      </c>
      <c r="AH74" s="17" t="s">
        <v>2227</v>
      </c>
    </row>
    <row r="75">
      <c r="H75" s="17" t="s">
        <v>2519</v>
      </c>
      <c r="I75" s="17" t="s">
        <v>2520</v>
      </c>
      <c r="K75" s="17" t="s">
        <v>2627</v>
      </c>
      <c r="O75" s="17" t="s">
        <v>2856</v>
      </c>
      <c r="AH75" s="17" t="s">
        <v>2229</v>
      </c>
    </row>
    <row r="76">
      <c r="H76" s="17" t="s">
        <v>2521</v>
      </c>
      <c r="I76" s="17" t="s">
        <v>2522</v>
      </c>
      <c r="K76" s="17" t="s">
        <v>2628</v>
      </c>
      <c r="O76" s="17" t="s">
        <v>2857</v>
      </c>
      <c r="AH76" s="17" t="s">
        <v>2179</v>
      </c>
    </row>
    <row r="77">
      <c r="H77" s="17" t="s">
        <v>2523</v>
      </c>
      <c r="I77" s="17" t="s">
        <v>2524</v>
      </c>
      <c r="K77" s="17" t="s">
        <v>2629</v>
      </c>
      <c r="O77" s="17" t="s">
        <v>2858</v>
      </c>
      <c r="AH77" s="17" t="s">
        <v>2232</v>
      </c>
    </row>
    <row r="78">
      <c r="H78" s="17" t="s">
        <v>2525</v>
      </c>
      <c r="I78" s="17" t="s">
        <v>2526</v>
      </c>
      <c r="K78" s="17" t="s">
        <v>2630</v>
      </c>
      <c r="O78" s="17" t="s">
        <v>2859</v>
      </c>
      <c r="AH78" s="17" t="s">
        <v>2184</v>
      </c>
    </row>
    <row r="79">
      <c r="H79" s="17" t="s">
        <v>2527</v>
      </c>
      <c r="I79" s="17" t="s">
        <v>2528</v>
      </c>
      <c r="K79" s="17" t="s">
        <v>2631</v>
      </c>
      <c r="O79" s="17" t="s">
        <v>2860</v>
      </c>
      <c r="AH79" s="17" t="s">
        <v>2233</v>
      </c>
    </row>
    <row r="80">
      <c r="H80" s="17" t="s">
        <v>2529</v>
      </c>
      <c r="I80" s="17" t="s">
        <v>2530</v>
      </c>
      <c r="K80" s="17" t="s">
        <v>2632</v>
      </c>
      <c r="O80" s="17" t="s">
        <v>2861</v>
      </c>
      <c r="AH80" s="17" t="s">
        <v>2234</v>
      </c>
    </row>
    <row r="81">
      <c r="H81" s="17" t="s">
        <v>2531</v>
      </c>
      <c r="I81" s="17" t="s">
        <v>2532</v>
      </c>
      <c r="K81" s="17" t="s">
        <v>2633</v>
      </c>
      <c r="O81" s="17" t="s">
        <v>2862</v>
      </c>
      <c r="AH81" s="17" t="s">
        <v>2235</v>
      </c>
    </row>
    <row r="82">
      <c r="H82" s="17" t="s">
        <v>2533</v>
      </c>
      <c r="I82" s="17" t="s">
        <v>2534</v>
      </c>
      <c r="K82" s="17" t="s">
        <v>2634</v>
      </c>
      <c r="O82" s="17" t="s">
        <v>2863</v>
      </c>
      <c r="AH82" s="17" t="s">
        <v>2236</v>
      </c>
    </row>
    <row r="83">
      <c r="H83" s="17" t="s">
        <v>2535</v>
      </c>
      <c r="I83" s="17" t="s">
        <v>2536</v>
      </c>
      <c r="K83" s="17" t="s">
        <v>2635</v>
      </c>
      <c r="O83" s="17" t="s">
        <v>2864</v>
      </c>
      <c r="AH83" s="17" t="s">
        <v>2266</v>
      </c>
    </row>
    <row r="84">
      <c r="H84" s="17" t="s">
        <v>2537</v>
      </c>
      <c r="I84" s="17" t="s">
        <v>2538</v>
      </c>
      <c r="K84" s="17" t="s">
        <v>2636</v>
      </c>
      <c r="O84" s="17" t="s">
        <v>2865</v>
      </c>
      <c r="AH84" s="17" t="s">
        <v>2267</v>
      </c>
    </row>
    <row r="85">
      <c r="H85" s="17" t="s">
        <v>2539</v>
      </c>
      <c r="I85" s="17" t="s">
        <v>2540</v>
      </c>
      <c r="K85" s="17" t="s">
        <v>2637</v>
      </c>
      <c r="O85" s="17" t="s">
        <v>2866</v>
      </c>
      <c r="AH85" s="17" t="s">
        <v>2268</v>
      </c>
    </row>
    <row r="86">
      <c r="H86" s="17" t="s">
        <v>2385</v>
      </c>
      <c r="I86" s="17" t="s">
        <v>2386</v>
      </c>
      <c r="K86" s="17" t="s">
        <v>2638</v>
      </c>
      <c r="O86" s="17" t="s">
        <v>2867</v>
      </c>
      <c r="AH86" s="17" t="s">
        <v>2269</v>
      </c>
    </row>
    <row r="87">
      <c r="K87" s="17" t="s">
        <v>2639</v>
      </c>
      <c r="O87" s="17" t="s">
        <v>2868</v>
      </c>
      <c r="AH87" s="17" t="s">
        <v>2194</v>
      </c>
    </row>
    <row r="88">
      <c r="K88" s="17" t="s">
        <v>2640</v>
      </c>
      <c r="O88" s="17" t="s">
        <v>2869</v>
      </c>
      <c r="AH88" s="17" t="s">
        <v>2198</v>
      </c>
    </row>
    <row r="89">
      <c r="K89" s="17" t="s">
        <v>2641</v>
      </c>
      <c r="O89" s="17" t="s">
        <v>2870</v>
      </c>
      <c r="AH89" s="17" t="s">
        <v>2190</v>
      </c>
    </row>
    <row r="90">
      <c r="K90" s="17" t="s">
        <v>2642</v>
      </c>
      <c r="O90" s="17" t="s">
        <v>2871</v>
      </c>
      <c r="AH90" s="17" t="s">
        <v>2175</v>
      </c>
    </row>
    <row r="91">
      <c r="K91" s="17" t="s">
        <v>2643</v>
      </c>
      <c r="O91" s="17" t="s">
        <v>2872</v>
      </c>
      <c r="AH91" s="17" t="s">
        <v>2225</v>
      </c>
    </row>
    <row r="92">
      <c r="K92" s="17" t="s">
        <v>2644</v>
      </c>
      <c r="O92" s="17" t="s">
        <v>2873</v>
      </c>
      <c r="AH92" s="17" t="s">
        <v>2227</v>
      </c>
    </row>
    <row r="93">
      <c r="K93" s="17" t="s">
        <v>2645</v>
      </c>
      <c r="AH93" s="17" t="s">
        <v>2229</v>
      </c>
    </row>
    <row r="94">
      <c r="K94" s="17" t="s">
        <v>2646</v>
      </c>
      <c r="AH94" s="17" t="s">
        <v>2179</v>
      </c>
    </row>
    <row r="95">
      <c r="K95" s="17" t="s">
        <v>2647</v>
      </c>
      <c r="AH95" s="17" t="s">
        <v>2232</v>
      </c>
    </row>
    <row r="96">
      <c r="K96" s="17" t="s">
        <v>2648</v>
      </c>
      <c r="AH96" s="17" t="s">
        <v>2184</v>
      </c>
    </row>
    <row r="97">
      <c r="K97" s="17" t="s">
        <v>2649</v>
      </c>
      <c r="AH97" s="17" t="s">
        <v>2233</v>
      </c>
    </row>
    <row r="98">
      <c r="K98" s="17" t="s">
        <v>2650</v>
      </c>
      <c r="AH98" s="17" t="s">
        <v>2234</v>
      </c>
    </row>
    <row r="99">
      <c r="K99" s="17" t="s">
        <v>2651</v>
      </c>
      <c r="AH99" s="17" t="s">
        <v>2235</v>
      </c>
    </row>
    <row r="100">
      <c r="K100" s="17" t="s">
        <v>2652</v>
      </c>
      <c r="AH100" s="17" t="s">
        <v>2236</v>
      </c>
    </row>
    <row r="101">
      <c r="K101" s="17" t="s">
        <v>2653</v>
      </c>
      <c r="AH101" s="17" t="s">
        <v>2270</v>
      </c>
    </row>
    <row r="102">
      <c r="K102" s="17" t="s">
        <v>2654</v>
      </c>
      <c r="AH102" s="17" t="s">
        <v>2271</v>
      </c>
    </row>
    <row r="103">
      <c r="K103" s="17" t="s">
        <v>2655</v>
      </c>
      <c r="AH103" s="17" t="s">
        <v>2272</v>
      </c>
    </row>
    <row r="104">
      <c r="K104" s="17" t="s">
        <v>2656</v>
      </c>
      <c r="AH104" s="17" t="s">
        <v>2273</v>
      </c>
    </row>
    <row r="105">
      <c r="K105" s="17" t="s">
        <v>2657</v>
      </c>
      <c r="AH105" s="17" t="s">
        <v>2274</v>
      </c>
    </row>
    <row r="106">
      <c r="K106" s="17" t="s">
        <v>2658</v>
      </c>
      <c r="AH106" s="17" t="s">
        <v>2275</v>
      </c>
    </row>
    <row r="107">
      <c r="K107" s="17" t="s">
        <v>2659</v>
      </c>
      <c r="AH107" s="17" t="s">
        <v>2194</v>
      </c>
    </row>
    <row r="108">
      <c r="K108" s="17" t="s">
        <v>2660</v>
      </c>
      <c r="AH108" s="17" t="s">
        <v>2276</v>
      </c>
    </row>
    <row r="109">
      <c r="K109" s="17" t="s">
        <v>2661</v>
      </c>
      <c r="AH109" s="17" t="s">
        <v>2277</v>
      </c>
    </row>
    <row r="110">
      <c r="K110" s="17" t="s">
        <v>2662</v>
      </c>
      <c r="AH110" s="17" t="s">
        <v>2278</v>
      </c>
    </row>
    <row r="111">
      <c r="K111" s="17" t="s">
        <v>2663</v>
      </c>
      <c r="AH111" s="17" t="s">
        <v>2279</v>
      </c>
    </row>
    <row r="112">
      <c r="K112" s="17" t="s">
        <v>2664</v>
      </c>
      <c r="AH112" s="17" t="s">
        <v>2280</v>
      </c>
    </row>
    <row r="113">
      <c r="K113" s="17" t="s">
        <v>2665</v>
      </c>
      <c r="AH113" s="17" t="s">
        <v>2281</v>
      </c>
    </row>
    <row r="114">
      <c r="K114" s="17" t="s">
        <v>2666</v>
      </c>
      <c r="AH114" s="17" t="s">
        <v>2198</v>
      </c>
    </row>
    <row r="115">
      <c r="K115" s="17" t="s">
        <v>2667</v>
      </c>
      <c r="AH115" s="17" t="s">
        <v>2187</v>
      </c>
    </row>
    <row r="116">
      <c r="K116" s="17" t="s">
        <v>2668</v>
      </c>
      <c r="AH116" s="17" t="s">
        <v>2190</v>
      </c>
    </row>
    <row r="117">
      <c r="K117" s="17" t="s">
        <v>2669</v>
      </c>
      <c r="AH117" s="17" t="s">
        <v>2175</v>
      </c>
    </row>
    <row r="118">
      <c r="K118" s="17" t="s">
        <v>2670</v>
      </c>
      <c r="AH118" s="17" t="s">
        <v>2225</v>
      </c>
    </row>
    <row r="119">
      <c r="K119" s="17" t="s">
        <v>2671</v>
      </c>
      <c r="AH119" s="17" t="s">
        <v>2227</v>
      </c>
    </row>
    <row r="120">
      <c r="K120" s="17" t="s">
        <v>2672</v>
      </c>
      <c r="AH120" s="17" t="s">
        <v>2229</v>
      </c>
    </row>
    <row r="121">
      <c r="K121" s="17" t="s">
        <v>2673</v>
      </c>
      <c r="AH121" s="17" t="s">
        <v>2179</v>
      </c>
    </row>
    <row r="122">
      <c r="K122" s="17" t="s">
        <v>2674</v>
      </c>
      <c r="AH122" s="17" t="s">
        <v>2232</v>
      </c>
    </row>
    <row r="123">
      <c r="K123" s="17" t="s">
        <v>2675</v>
      </c>
      <c r="AH123" s="17" t="s">
        <v>2184</v>
      </c>
    </row>
    <row r="124">
      <c r="K124" s="17" t="s">
        <v>2676</v>
      </c>
      <c r="AH124" s="17" t="s">
        <v>2233</v>
      </c>
    </row>
    <row r="125">
      <c r="K125" s="17" t="s">
        <v>2677</v>
      </c>
      <c r="AH125" s="17" t="s">
        <v>2234</v>
      </c>
    </row>
    <row r="126">
      <c r="K126" s="17" t="s">
        <v>2678</v>
      </c>
      <c r="AH126" s="17" t="s">
        <v>2235</v>
      </c>
    </row>
    <row r="127">
      <c r="K127" s="17" t="s">
        <v>2679</v>
      </c>
      <c r="AH127" s="17" t="s">
        <v>2236</v>
      </c>
    </row>
    <row r="128">
      <c r="K128" s="17" t="s">
        <v>2680</v>
      </c>
      <c r="AH128" s="17" t="s">
        <v>2282</v>
      </c>
    </row>
    <row r="129">
      <c r="K129" s="17" t="s">
        <v>2681</v>
      </c>
      <c r="AH129" s="17" t="s">
        <v>2283</v>
      </c>
    </row>
    <row r="130">
      <c r="K130" s="17" t="s">
        <v>2682</v>
      </c>
      <c r="AH130" s="17" t="s">
        <v>2284</v>
      </c>
    </row>
    <row r="131">
      <c r="K131" s="17" t="s">
        <v>2683</v>
      </c>
      <c r="AH131" s="17" t="s">
        <v>2249</v>
      </c>
    </row>
    <row r="132">
      <c r="K132" s="17" t="s">
        <v>2684</v>
      </c>
      <c r="AH132" s="17" t="s">
        <v>2285</v>
      </c>
    </row>
    <row r="133">
      <c r="K133" s="17" t="s">
        <v>2685</v>
      </c>
      <c r="AH133" s="17" t="s">
        <v>2194</v>
      </c>
    </row>
    <row r="134">
      <c r="K134" s="17" t="s">
        <v>2686</v>
      </c>
      <c r="AH134" s="17" t="s">
        <v>2198</v>
      </c>
    </row>
    <row r="135">
      <c r="K135" s="17" t="s">
        <v>2687</v>
      </c>
      <c r="AH135" s="17" t="s">
        <v>2187</v>
      </c>
    </row>
    <row r="136">
      <c r="K136" s="17" t="s">
        <v>2688</v>
      </c>
      <c r="AH136" s="17" t="s">
        <v>2190</v>
      </c>
    </row>
    <row r="137">
      <c r="K137" s="17" t="s">
        <v>2689</v>
      </c>
      <c r="AH137" s="17" t="s">
        <v>2175</v>
      </c>
    </row>
    <row r="138">
      <c r="K138" s="17" t="s">
        <v>2690</v>
      </c>
      <c r="AH138" s="17" t="s">
        <v>2225</v>
      </c>
    </row>
    <row r="139">
      <c r="K139" s="17" t="s">
        <v>2691</v>
      </c>
      <c r="AH139" s="17" t="s">
        <v>2227</v>
      </c>
    </row>
    <row r="140">
      <c r="K140" s="17" t="s">
        <v>2692</v>
      </c>
      <c r="AH140" s="17" t="s">
        <v>2229</v>
      </c>
    </row>
    <row r="141">
      <c r="K141" s="17" t="s">
        <v>2693</v>
      </c>
      <c r="AH141" s="17" t="s">
        <v>2179</v>
      </c>
    </row>
    <row r="142">
      <c r="K142" s="17" t="s">
        <v>2694</v>
      </c>
      <c r="AH142" s="17" t="s">
        <v>2232</v>
      </c>
    </row>
    <row r="143">
      <c r="K143" s="17" t="s">
        <v>2695</v>
      </c>
      <c r="AH143" s="17" t="s">
        <v>2184</v>
      </c>
    </row>
    <row r="144">
      <c r="K144" s="17" t="s">
        <v>2696</v>
      </c>
      <c r="AH144" s="17" t="s">
        <v>2233</v>
      </c>
    </row>
    <row r="145">
      <c r="K145" s="17" t="s">
        <v>2697</v>
      </c>
      <c r="AH145" s="17" t="s">
        <v>2234</v>
      </c>
    </row>
    <row r="146">
      <c r="K146" s="17" t="s">
        <v>2698</v>
      </c>
      <c r="AH146" s="17" t="s">
        <v>2235</v>
      </c>
    </row>
    <row r="147">
      <c r="K147" s="17" t="s">
        <v>2699</v>
      </c>
      <c r="AH147" s="17" t="s">
        <v>2236</v>
      </c>
    </row>
    <row r="148">
      <c r="K148" s="17" t="s">
        <v>2700</v>
      </c>
      <c r="AH148" s="17" t="s">
        <v>2286</v>
      </c>
    </row>
    <row r="149">
      <c r="K149" s="17" t="s">
        <v>2701</v>
      </c>
      <c r="AH149" s="17" t="s">
        <v>2287</v>
      </c>
    </row>
    <row r="150">
      <c r="K150" s="17" t="s">
        <v>2702</v>
      </c>
      <c r="AH150" s="17" t="s">
        <v>2288</v>
      </c>
    </row>
    <row r="151">
      <c r="K151" s="17" t="s">
        <v>2703</v>
      </c>
      <c r="AH151" s="17" t="s">
        <v>2289</v>
      </c>
    </row>
    <row r="152">
      <c r="K152" s="17" t="s">
        <v>2704</v>
      </c>
      <c r="AH152" s="17" t="s">
        <v>2290</v>
      </c>
    </row>
    <row r="153">
      <c r="K153" s="17" t="s">
        <v>2705</v>
      </c>
      <c r="AH153" s="17" t="s">
        <v>2291</v>
      </c>
    </row>
    <row r="154">
      <c r="K154" s="17" t="s">
        <v>2706</v>
      </c>
      <c r="AH154" s="17" t="s">
        <v>2292</v>
      </c>
    </row>
    <row r="155">
      <c r="K155" s="17" t="s">
        <v>2707</v>
      </c>
      <c r="AH155" s="17" t="s">
        <v>2293</v>
      </c>
    </row>
    <row r="156">
      <c r="K156" s="17" t="s">
        <v>2563</v>
      </c>
      <c r="AH156" s="17" t="s">
        <v>2294</v>
      </c>
    </row>
    <row r="157">
      <c r="K157" s="17" t="s">
        <v>2708</v>
      </c>
      <c r="AH157" s="17" t="s">
        <v>2295</v>
      </c>
    </row>
    <row r="158">
      <c r="AH158" s="17" t="s">
        <v>2296</v>
      </c>
    </row>
    <row r="159">
      <c r="AH159" s="17" t="s">
        <v>2297</v>
      </c>
    </row>
    <row r="160">
      <c r="AH160" s="17" t="s">
        <v>2298</v>
      </c>
    </row>
    <row r="161">
      <c r="AH161" s="17" t="s">
        <v>2299</v>
      </c>
    </row>
    <row r="162">
      <c r="AH162" s="17" t="s">
        <v>2300</v>
      </c>
    </row>
    <row r="163">
      <c r="AH163" s="17" t="s">
        <v>2301</v>
      </c>
    </row>
    <row r="164">
      <c r="AH164" s="17" t="s">
        <v>2302</v>
      </c>
    </row>
    <row r="165">
      <c r="AH165" s="17" t="s">
        <v>2303</v>
      </c>
    </row>
    <row r="166">
      <c r="AH166" s="17" t="s">
        <v>2304</v>
      </c>
    </row>
    <row r="167">
      <c r="AH167" s="17" t="s">
        <v>2305</v>
      </c>
    </row>
    <row r="168">
      <c r="AH168" s="17" t="s">
        <v>2306</v>
      </c>
    </row>
    <row r="169">
      <c r="AH169" s="17" t="s">
        <v>2307</v>
      </c>
    </row>
    <row r="170">
      <c r="AH170" s="17" t="s">
        <v>2308</v>
      </c>
    </row>
    <row r="171">
      <c r="AH171" s="17" t="s">
        <v>2309</v>
      </c>
    </row>
    <row r="172">
      <c r="AH172" s="17" t="s">
        <v>2310</v>
      </c>
    </row>
    <row r="173">
      <c r="AH173" s="17" t="s">
        <v>2311</v>
      </c>
    </row>
    <row r="174">
      <c r="AH174" s="17" t="s">
        <v>2312</v>
      </c>
    </row>
    <row r="175">
      <c r="AH175" s="17" t="s">
        <v>2313</v>
      </c>
    </row>
    <row r="176">
      <c r="AH176" s="17" t="s">
        <v>2314</v>
      </c>
    </row>
    <row r="177">
      <c r="AH177" s="17" t="s">
        <v>2315</v>
      </c>
    </row>
    <row r="178">
      <c r="AH178" s="17" t="s">
        <v>2316</v>
      </c>
    </row>
    <row r="179">
      <c r="AH179" s="17" t="s">
        <v>2317</v>
      </c>
    </row>
    <row r="180">
      <c r="AH180" s="17" t="s">
        <v>2318</v>
      </c>
    </row>
    <row r="181">
      <c r="AH181" s="17" t="s">
        <v>2319</v>
      </c>
    </row>
    <row r="182">
      <c r="AH182" s="17" t="s">
        <v>2320</v>
      </c>
    </row>
    <row r="183">
      <c r="AH183" s="17" t="s">
        <v>2321</v>
      </c>
    </row>
    <row r="184">
      <c r="AH184" s="17" t="s">
        <v>2322</v>
      </c>
    </row>
    <row r="185">
      <c r="AH185" s="17" t="s">
        <v>2323</v>
      </c>
    </row>
    <row r="186">
      <c r="AH186" s="17" t="s">
        <v>2324</v>
      </c>
    </row>
    <row r="187">
      <c r="AH187" s="17" t="s">
        <v>2325</v>
      </c>
    </row>
    <row r="188">
      <c r="AH188" s="17" t="s">
        <v>2326</v>
      </c>
    </row>
    <row r="189">
      <c r="AH189" s="17" t="s">
        <v>2327</v>
      </c>
    </row>
    <row r="190">
      <c r="AH190" s="17" t="s">
        <v>2328</v>
      </c>
    </row>
    <row r="191">
      <c r="AH191" s="17" t="s">
        <v>2329</v>
      </c>
    </row>
    <row r="192">
      <c r="AH192" s="17" t="s">
        <v>2330</v>
      </c>
    </row>
    <row r="193">
      <c r="AH193" s="17" t="s">
        <v>2331</v>
      </c>
    </row>
    <row r="194">
      <c r="AH194" s="17" t="s">
        <v>2332</v>
      </c>
    </row>
    <row r="195">
      <c r="AH195" s="17" t="s">
        <v>2333</v>
      </c>
    </row>
    <row r="196">
      <c r="AH196" s="17" t="s">
        <v>2334</v>
      </c>
    </row>
    <row r="197">
      <c r="AH197" s="17" t="s">
        <v>2335</v>
      </c>
    </row>
    <row r="198">
      <c r="AH198" s="17" t="s">
        <v>2336</v>
      </c>
    </row>
    <row r="199">
      <c r="AH199" s="17" t="s">
        <v>2227</v>
      </c>
    </row>
    <row r="200">
      <c r="AH200" s="17" t="s">
        <v>2229</v>
      </c>
    </row>
    <row r="201">
      <c r="AH201" s="17" t="s">
        <v>2179</v>
      </c>
    </row>
    <row r="202">
      <c r="AH202" s="17" t="s">
        <v>2232</v>
      </c>
    </row>
    <row r="203">
      <c r="AH203" s="17" t="s">
        <v>2184</v>
      </c>
    </row>
    <row r="204">
      <c r="AH204" s="17" t="s">
        <v>2233</v>
      </c>
    </row>
    <row r="205">
      <c r="AH205" s="17" t="s">
        <v>2234</v>
      </c>
    </row>
    <row r="206">
      <c r="AH206" s="17" t="s">
        <v>2235</v>
      </c>
    </row>
    <row r="207">
      <c r="AH207" s="17" t="s">
        <v>2236</v>
      </c>
    </row>
    <row r="208">
      <c r="AH208" s="17" t="s">
        <v>2337</v>
      </c>
    </row>
    <row r="209">
      <c r="AH209" s="17" t="s">
        <v>2338</v>
      </c>
    </row>
    <row r="210">
      <c r="AH210" s="17" t="s">
        <v>2339</v>
      </c>
    </row>
    <row r="211">
      <c r="AH211" s="17" t="s">
        <v>2190</v>
      </c>
    </row>
    <row r="212">
      <c r="AH212" s="17" t="s">
        <v>2340</v>
      </c>
    </row>
    <row r="213">
      <c r="AH213" s="17" t="s">
        <v>2341</v>
      </c>
    </row>
    <row r="214">
      <c r="AH214" s="17" t="s">
        <v>2342</v>
      </c>
    </row>
    <row r="215">
      <c r="AH215" s="17" t="s">
        <v>2229</v>
      </c>
    </row>
    <row r="216">
      <c r="AH216" s="17" t="s">
        <v>2179</v>
      </c>
    </row>
    <row r="217">
      <c r="AH217" s="17" t="s">
        <v>2232</v>
      </c>
    </row>
    <row r="218">
      <c r="AH218" s="17" t="s">
        <v>2235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