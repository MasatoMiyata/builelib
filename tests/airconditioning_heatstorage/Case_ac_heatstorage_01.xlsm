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emf" ContentType="image/x-emf"/>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inlineStr">
        <is>
          <t>1F</t>
        </is>
      </c>
      <c r="B11" s="864" t="inlineStr">
        <is>
          <t>事務室</t>
        </is>
      </c>
      <c r="C11" s="135" t="inlineStr">
        <is>
          <t>事務所等</t>
        </is>
      </c>
      <c r="D11" s="135" t="inlineStr">
        <is>
          <t>事務室</t>
        </is>
      </c>
      <c r="E11" s="865" t="inlineStr">
        <is>
          <t>100</t>
        </is>
      </c>
      <c r="F11" s="864" t="inlineStr">
        <is>
          <t>4</t>
        </is>
      </c>
      <c r="G11" s="864" t="inlineStr">
        <is>
          <t>3</t>
        </is>
      </c>
      <c r="H11" s="1064" t="inlineStr">
        <is>
          <t>1F</t>
        </is>
      </c>
      <c r="I11" s="134" t="inlineStr">
        <is>
          <t>事務室</t>
        </is>
      </c>
      <c r="J11" s="1064" t="inlineStr">
        <is>
          <t>ACP1</t>
        </is>
      </c>
      <c r="K11" s="1065" t="inlineStr">
        <is>
          <t>ACP1</t>
        </is>
      </c>
      <c r="L11" s="868" t="inlineStr"/>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inlineStr">
        <is>
          <t>OW1</t>
        </is>
      </c>
      <c r="B11" s="870" t="inlineStr">
        <is>
          <t>外壁</t>
        </is>
      </c>
      <c r="C11" s="187" t="inlineStr">
        <is>
          <t>0.5</t>
        </is>
      </c>
      <c r="D11" s="573" t="inlineStr"/>
      <c r="E11" s="574" t="inlineStr">
        <is>
          <t>室内側</t>
        </is>
      </c>
      <c r="F11" s="575" t="inlineStr"/>
      <c r="G11" s="576" t="inlineStr"/>
      <c r="I11" s="128">
        <f>IF(A11="","",MAX(I$10:I10)+1)</f>
        <v/>
      </c>
      <c r="J11" s="128">
        <f>IFERROR(INDEX($A$11:$A$99922,MATCH(ROW()-10,$I$11:$I$99922,0)),"")</f>
        <v/>
      </c>
      <c r="K11" s="857" t="n">
        <v>1</v>
      </c>
      <c r="L11" s="857" t="inlineStr">
        <is>
          <t>鋼</t>
        </is>
      </c>
    </row>
    <row r="12">
      <c r="A12" s="188" t="inlineStr"/>
      <c r="B12" s="189" t="inlineStr"/>
      <c r="C12" s="190" t="inlineStr"/>
      <c r="D12" s="799" t="inlineStr">
        <is>
          <t>62</t>
        </is>
      </c>
      <c r="E12" s="769" t="inlineStr">
        <is>
          <t>せっこうボード</t>
        </is>
      </c>
      <c r="F12" s="191" t="inlineStr">
        <is>
          <t>8</t>
        </is>
      </c>
      <c r="G12" s="192" t="inlineStr"/>
      <c r="I12" s="128">
        <f>IF(A12="","",MAX(I$10:I11)+1)</f>
        <v/>
      </c>
      <c r="J12" s="128">
        <f>IFERROR(INDEX($A$11:$A$99922,MATCH(ROW()-10,$I$11:$I$99922,0)),"")</f>
        <v/>
      </c>
      <c r="K12" s="857" t="n">
        <v>2</v>
      </c>
      <c r="L12" s="857" t="inlineStr">
        <is>
          <t>アルミニウム</t>
        </is>
      </c>
    </row>
    <row r="13">
      <c r="A13" s="188" t="inlineStr"/>
      <c r="B13" s="189" t="inlineStr"/>
      <c r="C13" s="190" t="inlineStr"/>
      <c r="D13" s="799" t="inlineStr">
        <is>
          <t>302</t>
        </is>
      </c>
      <c r="E13" s="769" t="inlineStr">
        <is>
          <t>非密閉中空層</t>
        </is>
      </c>
      <c r="F13" s="191" t="inlineStr"/>
      <c r="G13" s="192" t="inlineStr"/>
      <c r="I13" s="128">
        <f>IF(A13="","",MAX(I$10:I12)+1)</f>
        <v/>
      </c>
      <c r="J13" s="128">
        <f>IFERROR(INDEX($A$11:$A$99922,MATCH(ROW()-10,$I$11:$I$99922,0)),"")</f>
        <v/>
      </c>
      <c r="K13" s="857" t="n">
        <v>3</v>
      </c>
      <c r="L13" s="857" t="inlineStr">
        <is>
          <t>銅</t>
        </is>
      </c>
    </row>
    <row r="14">
      <c r="A14" s="188" t="inlineStr"/>
      <c r="B14" s="189" t="inlineStr"/>
      <c r="C14" s="190" t="inlineStr"/>
      <c r="D14" s="799" t="inlineStr">
        <is>
          <t>181</t>
        </is>
      </c>
      <c r="E14" s="769" t="inlineStr">
        <is>
          <t>押出法ポリスチレンフォーム　保温板　1種</t>
        </is>
      </c>
      <c r="F14" s="191" t="inlineStr">
        <is>
          <t>25</t>
        </is>
      </c>
      <c r="G14" s="192" t="inlineStr"/>
      <c r="I14" s="128">
        <f>IF(A14="","",MAX(I$10:I13)+1)</f>
        <v/>
      </c>
      <c r="J14" s="128">
        <f>IFERROR(INDEX($A$11:$A$99922,MATCH(ROW()-10,$I$11:$I$99922,0)),"")</f>
        <v/>
      </c>
      <c r="K14" s="857" t="n">
        <v>4</v>
      </c>
      <c r="L14" s="857" t="inlineStr">
        <is>
          <t>ステンレス鋼</t>
        </is>
      </c>
    </row>
    <row r="15">
      <c r="A15" s="188" t="inlineStr"/>
      <c r="B15" s="189" t="inlineStr"/>
      <c r="C15" s="190" t="inlineStr"/>
      <c r="D15" s="799" t="inlineStr">
        <is>
          <t>41</t>
        </is>
      </c>
      <c r="E15" s="769" t="inlineStr">
        <is>
          <t>コンクリート</t>
        </is>
      </c>
      <c r="F15" s="191" t="inlineStr">
        <is>
          <t>150</t>
        </is>
      </c>
      <c r="G15" s="858" t="inlineStr"/>
      <c r="I15" s="128">
        <f>IF(A15="","",MAX(I$10:I14)+1)</f>
        <v/>
      </c>
      <c r="J15" s="128">
        <f>IFERROR(INDEX($A$11:$A$99922,MATCH(ROW()-10,$I$11:$I$99922,0)),"")</f>
        <v/>
      </c>
      <c r="K15" s="857" t="n">
        <v>21</v>
      </c>
      <c r="L15" s="857" t="inlineStr">
        <is>
          <t>岩石</t>
        </is>
      </c>
    </row>
    <row r="16">
      <c r="A16" s="188" t="inlineStr"/>
      <c r="B16" s="189" t="inlineStr"/>
      <c r="C16" s="190" t="inlineStr"/>
      <c r="D16" s="799" t="inlineStr">
        <is>
          <t>47</t>
        </is>
      </c>
      <c r="E16" s="769" t="inlineStr">
        <is>
          <t>セメント・モルタル</t>
        </is>
      </c>
      <c r="F16" s="191" t="inlineStr">
        <is>
          <t>25</t>
        </is>
      </c>
      <c r="G16" s="192" t="inlineStr"/>
      <c r="I16" s="128">
        <f>IF(A16="","",MAX(I$10:I15)+1)</f>
        <v/>
      </c>
      <c r="J16" s="128">
        <f>IFERROR(INDEX($A$11:$A$99922,MATCH(ROW()-10,$I$11:$I$99922,0)),"")</f>
        <v/>
      </c>
      <c r="K16" s="857" t="n">
        <v>22</v>
      </c>
      <c r="L16" s="857" t="inlineStr">
        <is>
          <t>土壌</t>
        </is>
      </c>
    </row>
    <row r="17">
      <c r="A17" s="188" t="inlineStr"/>
      <c r="B17" s="189" t="inlineStr"/>
      <c r="C17" s="190" t="inlineStr"/>
      <c r="D17" s="799" t="inlineStr">
        <is>
          <t>67</t>
        </is>
      </c>
      <c r="E17" s="769" t="inlineStr">
        <is>
          <t>タイル</t>
        </is>
      </c>
      <c r="F17" s="191" t="inlineStr">
        <is>
          <t>10</t>
        </is>
      </c>
      <c r="G17" s="192" t="inlineStr"/>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inlineStr">
        <is>
          <t>WIND1</t>
        </is>
      </c>
      <c r="B11" s="875" t="inlineStr">
        <is>
          <t>4.2</t>
        </is>
      </c>
      <c r="C11" s="876" t="inlineStr">
        <is>
          <t>0.876</t>
        </is>
      </c>
      <c r="D11" s="1105" t="inlineStr">
        <is>
          <t>樹脂</t>
        </is>
      </c>
      <c r="E11" s="877" t="inlineStr"/>
      <c r="F11" s="877" t="inlineStr">
        <is>
          <t>5.23</t>
        </is>
      </c>
      <c r="G11" s="877" t="inlineStr">
        <is>
          <t>0.42</t>
        </is>
      </c>
      <c r="H11" s="874" t="inlineStr"/>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inlineStr">
        <is>
          <t>1F</t>
        </is>
      </c>
      <c r="B11" s="134" t="inlineStr">
        <is>
          <t>事務室</t>
        </is>
      </c>
      <c r="C11" s="133" t="inlineStr">
        <is>
          <t>南</t>
        </is>
      </c>
      <c r="D11" s="133" t="inlineStr"/>
      <c r="E11" s="134" t="inlineStr"/>
      <c r="F11" s="609" t="inlineStr">
        <is>
          <t>OW1</t>
        </is>
      </c>
      <c r="G11" s="540" t="inlineStr">
        <is>
          <t>40</t>
        </is>
      </c>
      <c r="H11" s="147" t="inlineStr">
        <is>
          <t>WIND1</t>
        </is>
      </c>
      <c r="I11" s="196" t="inlineStr">
        <is>
          <t>10</t>
        </is>
      </c>
      <c r="J11" s="134" t="inlineStr">
        <is>
          <t>無</t>
        </is>
      </c>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inlineStr">
        <is>
          <t>PAC1</t>
        </is>
      </c>
      <c r="B11" s="133" t="inlineStr"/>
      <c r="C11" s="134" t="inlineStr"/>
      <c r="D11" s="147" t="inlineStr">
        <is>
          <t>水蓄熱(混合型)</t>
        </is>
      </c>
      <c r="E11" s="134" t="inlineStr">
        <is>
          <t>150</t>
        </is>
      </c>
      <c r="F11" s="891" t="inlineStr">
        <is>
          <t>吸収式冷凍機(冷却水変流量、都市ガス)</t>
        </is>
      </c>
      <c r="G11" s="133" t="inlineStr">
        <is>
          <t>1番目</t>
        </is>
      </c>
      <c r="H11" s="135" t="inlineStr">
        <is>
          <t>1</t>
        </is>
      </c>
      <c r="I11" s="891" t="inlineStr"/>
      <c r="J11" s="135" t="inlineStr">
        <is>
          <t>16</t>
        </is>
      </c>
      <c r="K11" s="135" t="inlineStr">
        <is>
          <t>16</t>
        </is>
      </c>
      <c r="L11" s="135" t="inlineStr">
        <is>
          <t>1</t>
        </is>
      </c>
      <c r="M11" s="135" t="inlineStr">
        <is>
          <t>1</t>
        </is>
      </c>
      <c r="N11" s="147" t="inlineStr">
        <is>
          <t>16</t>
        </is>
      </c>
      <c r="O11" s="135" t="inlineStr">
        <is>
          <t>1</t>
        </is>
      </c>
      <c r="P11" s="134" t="inlineStr">
        <is>
          <t>1</t>
        </is>
      </c>
      <c r="Q11" s="135" t="inlineStr">
        <is>
          <t>1番目</t>
        </is>
      </c>
      <c r="R11" s="148" t="inlineStr">
        <is>
          <t>1</t>
        </is>
      </c>
      <c r="S11" s="135" t="inlineStr"/>
      <c r="T11" s="135" t="inlineStr">
        <is>
          <t>16</t>
        </is>
      </c>
      <c r="U11" s="135" t="inlineStr">
        <is>
          <t>16</t>
        </is>
      </c>
      <c r="V11" s="135" t="inlineStr"/>
      <c r="W11" s="135" t="inlineStr"/>
      <c r="X11" s="145" t="inlineStr"/>
      <c r="Z11" s="857" t="inlineStr">
        <is>
          <t>ウォータチリングユニット(空冷式)</t>
        </is>
      </c>
    </row>
    <row r="12" ht="27" customHeight="1" s="1046">
      <c r="A12" s="136" t="inlineStr"/>
      <c r="B12" s="137" t="inlineStr"/>
      <c r="C12" s="138" t="inlineStr"/>
      <c r="D12" s="152" t="inlineStr">
        <is>
          <t>追掛</t>
        </is>
      </c>
      <c r="E12" s="153" t="inlineStr"/>
      <c r="F12" s="139" t="inlineStr">
        <is>
          <t>吸収式冷凍機(冷却水変流量、都市ガス)</t>
        </is>
      </c>
      <c r="G12" s="137" t="inlineStr">
        <is>
          <t>1番目</t>
        </is>
      </c>
      <c r="H12" s="151" t="inlineStr">
        <is>
          <t>1</t>
        </is>
      </c>
      <c r="I12" s="139" t="inlineStr"/>
      <c r="J12" s="151" t="inlineStr">
        <is>
          <t>16</t>
        </is>
      </c>
      <c r="K12" s="151" t="inlineStr">
        <is>
          <t>16</t>
        </is>
      </c>
      <c r="L12" s="151" t="inlineStr">
        <is>
          <t>1</t>
        </is>
      </c>
      <c r="M12" s="151" t="inlineStr">
        <is>
          <t>1</t>
        </is>
      </c>
      <c r="N12" s="152" t="inlineStr">
        <is>
          <t>16</t>
        </is>
      </c>
      <c r="O12" s="151" t="inlineStr">
        <is>
          <t>1</t>
        </is>
      </c>
      <c r="P12" s="153" t="inlineStr">
        <is>
          <t>1</t>
        </is>
      </c>
      <c r="Q12" s="140" t="inlineStr">
        <is>
          <t>1番目</t>
        </is>
      </c>
      <c r="R12" s="154" t="inlineStr">
        <is>
          <t>1</t>
        </is>
      </c>
      <c r="S12" s="151" t="inlineStr"/>
      <c r="T12" s="151" t="inlineStr">
        <is>
          <t>16</t>
        </is>
      </c>
      <c r="U12" s="151" t="inlineStr">
        <is>
          <t>16</t>
        </is>
      </c>
      <c r="V12" s="151" t="inlineStr"/>
      <c r="W12" s="151" t="inlineStr"/>
      <c r="X12" s="146" t="inlineStr"/>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inlineStr">
        <is>
          <t>ACP1</t>
        </is>
      </c>
      <c r="B11" s="147" t="inlineStr">
        <is>
          <t>1</t>
        </is>
      </c>
      <c r="C11" s="135" t="inlineStr">
        <is>
          <t>室内機</t>
        </is>
      </c>
      <c r="D11" s="135" t="inlineStr">
        <is>
          <t>16</t>
        </is>
      </c>
      <c r="E11" s="135" t="inlineStr">
        <is>
          <t>16</t>
        </is>
      </c>
      <c r="F11" s="1065" t="inlineStr">
        <is>
          <t>4000</t>
        </is>
      </c>
      <c r="G11" s="1064" t="inlineStr">
        <is>
          <t>0.1</t>
        </is>
      </c>
      <c r="H11" s="135" t="inlineStr"/>
      <c r="I11" s="135" t="inlineStr"/>
      <c r="J11" s="1065" t="inlineStr"/>
      <c r="K11" s="147" t="inlineStr"/>
      <c r="L11" s="135" t="inlineStr"/>
      <c r="M11" s="135" t="inlineStr"/>
      <c r="N11" s="196" t="inlineStr"/>
      <c r="O11" s="147" t="inlineStr"/>
      <c r="P11" s="135" t="inlineStr"/>
      <c r="Q11" s="135" t="inlineStr"/>
      <c r="R11" s="135" t="inlineStr"/>
      <c r="S11" s="148" t="inlineStr"/>
      <c r="T11" s="147" t="inlineStr"/>
      <c r="U11" s="134" t="inlineStr"/>
      <c r="V11" s="148" t="inlineStr">
        <is>
          <t>PAC1</t>
        </is>
      </c>
      <c r="W11" s="134" t="inlineStr">
        <is>
          <t>PAC1</t>
        </is>
      </c>
      <c r="X11" s="145" t="inlineStr"/>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n"/>
      <c r="B11" s="135" t="n"/>
      <c r="C11" s="140" t="n"/>
      <c r="D11" s="140" t="n"/>
      <c r="E11" s="224" t="n"/>
      <c r="F11" s="137" t="n"/>
      <c r="G11" s="917" t="n"/>
      <c r="H11" s="918" t="n"/>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n"/>
      <c r="B11" s="920" t="n"/>
      <c r="C11" s="921" t="n"/>
      <c r="D11" s="922" t="n"/>
      <c r="E11" s="922" t="n"/>
      <c r="F11" s="923" t="n"/>
      <c r="G11" s="924" t="n"/>
      <c r="H11" s="922" t="n"/>
      <c r="I11" s="925" t="n"/>
      <c r="J11" s="926" t="n"/>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2026-02-28T09:00:55Z</dcterms:modified>
  <cp:lastModifiedBy>Masato</cp:lastModifiedBy>
  <cp:lastPrinted>2018-03-29T01:42:38Z</cp:lastPrinted>
</cp:coreProperties>
</file>